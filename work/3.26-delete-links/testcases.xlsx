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ỡ liên kết người thân" sheetId="1" state="visible" r:id="rId1"/>
    <sheet name="Report" sheetId="2" state="visible" r:id="rId2"/>
  </sheets>
  <definedNames>
    <definedName name="_xlnm._FilterDatabase" localSheetId="0" hidden="1">'Gỡ liên kết người thân'!$A$8:$I$20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1"/>
    </font>
    <font>
      <name val="Times New Roman"/>
      <sz val="11"/>
    </font>
    <font>
      <name val="Times New Roman"/>
      <b val="1"/>
      <sz val="18"/>
    </font>
    <font>
      <name val="Times New Roman"/>
      <b val="1"/>
      <sz val="14"/>
    </font>
  </fonts>
  <fills count="5">
    <fill>
      <patternFill/>
    </fill>
    <fill>
      <patternFill patternType="gray125"/>
    </fill>
    <fill>
      <patternFill patternType="solid">
        <fgColor rgb="006AA84F"/>
      </patternFill>
    </fill>
    <fill>
      <patternFill patternType="solid">
        <fgColor rgb="00A8D08D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9" fontId="2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9C0006"/>
      </font>
      <fill>
        <patternFill patternType="solid">
          <bgColor rgb="00FFC7CE"/>
        </patternFill>
      </fill>
    </dxf>
    <dxf>
      <font>
        <b val="1"/>
        <color rgb="00FFFFFF"/>
      </font>
      <fill>
        <patternFill patternType="solid">
          <bgColor rgb="00C00000"/>
        </patternFill>
      </fill>
    </dxf>
    <dxf>
      <font>
        <b val="1"/>
        <color rgb="00FFFFFF"/>
      </font>
      <fill>
        <patternFill patternType="solid">
          <bgColor rgb="00FF0000"/>
        </patternFill>
      </fill>
    </dxf>
    <dxf>
      <font>
        <b val="1"/>
        <color rgb="00000000"/>
      </font>
      <fill>
        <patternFill patternType="solid">
          <bgColor rgb="00FFE5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Kết quả theo chức năng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'Report'!D10</f>
            </strRef>
          </tx>
          <spPr>
            <a:ln>
              <a:prstDash val="solid"/>
            </a:ln>
          </spPr>
          <cat>
            <numRef>
              <f>'Report'!$A$11</f>
            </numRef>
          </cat>
          <val>
            <numRef>
              <f>'Report'!$D$11</f>
            </numRef>
          </val>
        </ser>
        <ser>
          <idx val="1"/>
          <order val="1"/>
          <tx>
            <strRef>
              <f>'Report'!E10</f>
            </strRef>
          </tx>
          <spPr>
            <a:ln>
              <a:prstDash val="solid"/>
            </a:ln>
          </spPr>
          <cat>
            <numRef>
              <f>'Report'!$A$11</f>
            </numRef>
          </cat>
          <val>
            <numRef>
              <f>'Report'!$E$11</f>
            </numRef>
          </val>
        </ser>
        <ser>
          <idx val="2"/>
          <order val="2"/>
          <tx>
            <strRef>
              <f>'Report'!F10</f>
            </strRef>
          </tx>
          <spPr>
            <a:ln>
              <a:prstDash val="solid"/>
            </a:ln>
          </spPr>
          <cat>
            <numRef>
              <f>'Report'!$A$11</f>
            </numRef>
          </cat>
          <val>
            <numRef>
              <f>'Report'!$F$11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Tổng Pass / Fail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'Report'!$B$3:$B$4</f>
            </numRef>
          </cat>
          <val>
            <numRef>
              <f>'Report'!$D$3:$D$4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86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32" customWidth="1" min="3" max="3"/>
    <col width="50" customWidth="1" min="4" max="4"/>
    <col width="32" customWidth="1" min="5" max="5"/>
    <col width="45" customWidth="1" min="6" max="6"/>
    <col width="45" customWidth="1" min="7" max="7"/>
    <col width="12" customWidth="1" min="8" max="8"/>
    <col width="34" customWidth="1" min="9" max="9"/>
    <col width="22" customWidth="1" min="11" max="11"/>
    <col width="34" customWidth="1" min="12" max="12"/>
    <col width="7" customWidth="1" min="13" max="13"/>
    <col width="34" customWidth="1" min="14" max="14"/>
    <col width="7" customWidth="1" min="15" max="15"/>
    <col width="3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Project Name</t>
        </is>
      </c>
      <c r="B1" s="2" t="inlineStr">
        <is>
          <t>DrugTime</t>
        </is>
      </c>
    </row>
    <row r="2">
      <c r="A2" s="1" t="inlineStr">
        <is>
          <t>Module Name</t>
        </is>
      </c>
      <c r="B2" s="2" t="inlineStr">
        <is>
          <t>Gỡ hoặc tự rời liên kết người thân (LINKREVOKE)</t>
        </is>
      </c>
    </row>
    <row r="3">
      <c r="A3" s="1" t="inlineStr">
        <is>
          <t>Created By</t>
        </is>
      </c>
      <c r="B3" s="2" t="inlineStr">
        <is>
          <t>DrugTime Team</t>
        </is>
      </c>
    </row>
    <row r="4">
      <c r="A4" s="1" t="inlineStr">
        <is>
          <t>Creation Date</t>
        </is>
      </c>
      <c r="B4" s="3" t="n">
        <v>46318</v>
      </c>
    </row>
    <row r="5">
      <c r="A5" s="1" t="inlineStr">
        <is>
          <t>Reviewed By</t>
        </is>
      </c>
      <c r="B5" s="2" t="inlineStr"/>
    </row>
    <row r="6">
      <c r="A6" s="1" t="inlineStr">
        <is>
          <t>Reviewed Date</t>
        </is>
      </c>
      <c r="B6" s="2" t="n"/>
    </row>
    <row r="7">
      <c r="K7" s="4" t="inlineStr">
        <is>
          <t>Equivalence Partitioning</t>
        </is>
      </c>
      <c r="Q7" s="4" t="inlineStr">
        <is>
          <t>Quyền thu hồi liên kết và phản hồi API</t>
        </is>
      </c>
    </row>
    <row r="8">
      <c r="A8" s="1" t="inlineStr">
        <is>
          <t>Test Case ID</t>
        </is>
      </c>
      <c r="B8" s="1" t="inlineStr">
        <is>
          <t>Description</t>
        </is>
      </c>
      <c r="C8" s="1" t="inlineStr">
        <is>
          <t>Precondition</t>
        </is>
      </c>
      <c r="D8" s="1" t="inlineStr">
        <is>
          <t>Test Steps</t>
        </is>
      </c>
      <c r="E8" s="1" t="inlineStr">
        <is>
          <t>Test Data</t>
        </is>
      </c>
      <c r="F8" s="1" t="inlineStr">
        <is>
          <t>Expected Result</t>
        </is>
      </c>
      <c r="G8" s="1" t="inlineStr">
        <is>
          <t>Actual Result</t>
        </is>
      </c>
      <c r="H8" s="1" t="inlineStr">
        <is>
          <t>Status</t>
        </is>
      </c>
      <c r="I8" s="1" t="inlineStr">
        <is>
          <t>Comments(if any)</t>
        </is>
      </c>
      <c r="K8" s="5" t="inlineStr">
        <is>
          <t>Field</t>
        </is>
      </c>
      <c r="L8" s="5" t="inlineStr">
        <is>
          <t>Valid</t>
        </is>
      </c>
      <c r="M8" s="5" t="inlineStr">
        <is>
          <t>Num</t>
        </is>
      </c>
      <c r="N8" s="5" t="inlineStr">
        <is>
          <t>Invalid</t>
        </is>
      </c>
      <c r="O8" s="5" t="inlineStr">
        <is>
          <t>Num</t>
        </is>
      </c>
      <c r="Q8" s="6" t="inlineStr">
        <is>
          <t>Rule</t>
        </is>
      </c>
      <c r="R8" s="5" t="inlineStr">
        <is>
          <t>R1</t>
        </is>
      </c>
      <c r="S8" s="5" t="inlineStr">
        <is>
          <t>R2</t>
        </is>
      </c>
      <c r="T8" s="5" t="inlineStr">
        <is>
          <t>R3</t>
        </is>
      </c>
      <c r="U8" s="5" t="inlineStr">
        <is>
          <t>R4</t>
        </is>
      </c>
      <c r="V8" s="5" t="inlineStr">
        <is>
          <t>R5</t>
        </is>
      </c>
      <c r="W8" s="5" t="inlineStr">
        <is>
          <t>R6</t>
        </is>
      </c>
      <c r="X8" s="5" t="inlineStr">
        <is>
          <t>R7</t>
        </is>
      </c>
    </row>
    <row r="9" ht="90.5" customHeight="1">
      <c r="A9" s="7" t="inlineStr">
        <is>
          <t>TC-LINKREVOKE-01</t>
        </is>
      </c>
      <c r="B9" s="7" t="inlineStr">
        <is>
          <t>Bệnh nhân thu hồi liên kết active đang hoạt động</t>
        </is>
      </c>
      <c r="C9" s="8" t="inlineStr">
        <is>
          <t>Liên kết giữa Patient và Family Member có status='active', sharing_enabled=true</t>
        </is>
      </c>
      <c r="D9" s="8" t="inlineStr">
        <is>
          <t>1. Gửi request DELETE /links/{id} với Bearer token của Patient sở hữu link
2. Kiểm tra mã trạng thái HTTP trả về
3. Truy vấn bản ghi caregiver_links trong cơ sở dữ liệu</t>
        </is>
      </c>
      <c r="E9" s="8" t="inlineStr">
        <is>
          <t>link_id=1, token=Patient</t>
        </is>
      </c>
      <c r="F9" s="8" t="inlineStr">
        <is>
          <t>HTTP 204 No Content. Trong DB: status='revoked', sharing_enabled=false, revoked_at được gán thời điểm hiện tại.</t>
        </is>
      </c>
      <c r="G9" s="8" t="inlineStr">
        <is>
          <t>HTTP 204 No Content. Trong DB: status='revoked', sharing_enabled=false, revoked_at is not null.</t>
        </is>
      </c>
      <c r="H9" s="7" t="inlineStr">
        <is>
          <t>Pass</t>
        </is>
      </c>
      <c r="I9" s="8" t="inlineStr">
        <is>
          <t>AC1 · Decision Table (R1) · test_revoke_active_link_sets_revoked_and_clears_sharing</t>
        </is>
      </c>
      <c r="K9" s="9" t="inlineStr">
        <is>
          <t>link_id</t>
        </is>
      </c>
      <c r="L9" s="10" t="inlineStr">
        <is>
          <t>ID hợp lệ tồn tại thuộc người gọi</t>
        </is>
      </c>
      <c r="M9" s="10" t="inlineStr">
        <is>
          <t>1</t>
        </is>
      </c>
      <c r="N9" s="10" t="inlineStr">
        <is>
          <t>(blank)
ID &lt;= 0
ID không phải số nguyên
ID không tồn tại</t>
        </is>
      </c>
      <c r="O9" s="10" t="inlineStr">
        <is>
          <t>7
8
9
10</t>
        </is>
      </c>
      <c r="Q9" s="10" t="inlineStr">
        <is>
          <t>Người gọi là thành viên của link?</t>
        </is>
      </c>
      <c r="R9" s="11" t="inlineStr">
        <is>
          <t>Yes</t>
        </is>
      </c>
      <c r="S9" s="11" t="inlineStr">
        <is>
          <t>Yes</t>
        </is>
      </c>
      <c r="T9" s="11" t="inlineStr">
        <is>
          <t>Yes</t>
        </is>
      </c>
      <c r="U9" s="11" t="inlineStr">
        <is>
          <t>Yes</t>
        </is>
      </c>
      <c r="V9" s="11" t="inlineStr">
        <is>
          <t>No</t>
        </is>
      </c>
      <c r="W9" s="11" t="inlineStr">
        <is>
          <t>No</t>
        </is>
      </c>
      <c r="X9" s="11" t="inlineStr">
        <is>
          <t>-</t>
        </is>
      </c>
    </row>
    <row r="10" ht="74" customHeight="1">
      <c r="A10" s="7" t="inlineStr">
        <is>
          <t>TC-LINKREVOKE-02</t>
        </is>
      </c>
      <c r="B10" s="7" t="inlineStr">
        <is>
          <t>Người thân tự rời khỏi liên kết active của chính mình</t>
        </is>
      </c>
      <c r="C10" s="8" t="inlineStr">
        <is>
          <t>Liên kết giữa Patient và Family Member có status='active'</t>
        </is>
      </c>
      <c r="D10" s="8" t="inlineStr">
        <is>
          <t>1. Gửi request DELETE /links/{id} với Bearer token của Family Member trong link
2. Kiểm tra mã trạng thái HTTP trả về
3. Kiểm tra bản ghi trong CSDL</t>
        </is>
      </c>
      <c r="E10" s="8" t="inlineStr">
        <is>
          <t>link_id=1, token=Family Member</t>
        </is>
      </c>
      <c r="F10" s="8" t="inlineStr">
        <is>
          <t>HTTP 204 No Content. Trong DB: status='revoked', sharing_enabled=false, revoked_at được gán.</t>
        </is>
      </c>
      <c r="G10" s="8" t="inlineStr">
        <is>
          <t>HTTP 204 No Content. Trong DB: status='revoked', sharing_enabled=false.</t>
        </is>
      </c>
      <c r="H10" s="7" t="inlineStr">
        <is>
          <t>Pass</t>
        </is>
      </c>
      <c r="I10" s="8" t="inlineStr">
        <is>
          <t>AC2 · Decision Table (R1) · test_family_member_self_leave_db</t>
        </is>
      </c>
      <c r="K10" s="9" t="inlineStr">
        <is>
          <t>caller_id</t>
        </is>
      </c>
      <c r="L10" s="10" t="inlineStr">
        <is>
          <t>Bệnh nhân sở hữu liên kết (patient_user_id)
Người thân trong liên kết (family_user_id)</t>
        </is>
      </c>
      <c r="M10" s="10" t="inlineStr">
        <is>
          <t>2
3</t>
        </is>
      </c>
      <c r="N10" s="10" t="inlineStr">
        <is>
          <t>(blank) Không truyền token
Token hết hạn hoặc không hợp lệ
Người dùng khác không thuộc liên kết (stranger)</t>
        </is>
      </c>
      <c r="O10" s="10" t="inlineStr">
        <is>
          <t>11
12
13</t>
        </is>
      </c>
      <c r="Q10" s="10" t="inlineStr">
        <is>
          <t>Trạng thái link trước khi gọi?</t>
        </is>
      </c>
      <c r="R10" s="11" t="inlineStr">
        <is>
          <t>active</t>
        </is>
      </c>
      <c r="S10" s="11" t="inlineStr">
        <is>
          <t>pending</t>
        </is>
      </c>
      <c r="T10" s="11" t="inlineStr">
        <is>
          <t>revoked</t>
        </is>
      </c>
      <c r="U10" s="11" t="inlineStr">
        <is>
          <t>rejected</t>
        </is>
      </c>
      <c r="V10" s="11" t="inlineStr">
        <is>
          <t>active/pending/revoked</t>
        </is>
      </c>
      <c r="W10" s="11" t="inlineStr">
        <is>
          <t>rejected/không tồn tại</t>
        </is>
      </c>
      <c r="X10" s="11" t="inlineStr">
        <is>
          <t>-</t>
        </is>
      </c>
    </row>
    <row r="11" ht="74" customHeight="1">
      <c r="A11" s="7" t="inlineStr">
        <is>
          <t>TC-LINKREVOKE-03</t>
        </is>
      </c>
      <c r="B11" s="7" t="inlineStr">
        <is>
          <t>Thu hồi liên kết đang ở trạng thái pending (chờ duyệt)</t>
        </is>
      </c>
      <c r="C11" s="8" t="inlineStr">
        <is>
          <t>Liên kết đang ở trạng thái pending (vừa gửi mã, chưa được duyệt)</t>
        </is>
      </c>
      <c r="D11" s="8" t="inlineStr">
        <is>
          <t>1. Gửi request DELETE /links/{id} bằng token của Patient hoặc Family Member
2. Kiểm tra mã trạng thái HTTP và bản ghi DB</t>
        </is>
      </c>
      <c r="E11" s="8" t="inlineStr">
        <is>
          <t>link_id=2, token=Patient</t>
        </is>
      </c>
      <c r="F11" s="8" t="inlineStr">
        <is>
          <t>HTTP 204 No Content. Bản ghi không bị xóa, status chuyển sang 'revoked', revoked_at được cập nhật.</t>
        </is>
      </c>
      <c r="G11" s="8" t="inlineStr">
        <is>
          <t>HTTP 204 No Content. Bản ghi được bảo toàn, status='revoked'.</t>
        </is>
      </c>
      <c r="H11" s="7" t="inlineStr">
        <is>
          <t>Pass</t>
        </is>
      </c>
      <c r="I11" s="8" t="inlineStr">
        <is>
          <t>AC4 · Decision Table (R2) · test_revoke_pending_link_db</t>
        </is>
      </c>
      <c r="K11" s="9" t="inlineStr">
        <is>
          <t>status_ban_dau</t>
        </is>
      </c>
      <c r="L11" s="10" t="inlineStr">
        <is>
          <t>active (đang chia sẻ dữ liệu)
pending (chờ duyệt liên kết)
revoked (đã thu hồi trước đó - idempotent)</t>
        </is>
      </c>
      <c r="M11" s="10" t="inlineStr">
        <is>
          <t>4
5
6</t>
        </is>
      </c>
      <c r="N11" s="10" t="inlineStr">
        <is>
          <t>rejected (đã bị từ chối)</t>
        </is>
      </c>
      <c r="O11" s="10" t="inlineStr">
        <is>
          <t>14</t>
        </is>
      </c>
      <c r="Q11" s="10" t="inlineStr">
        <is>
          <t>Có Bearer Token hợp lệ?</t>
        </is>
      </c>
      <c r="R11" s="11" t="inlineStr">
        <is>
          <t>Yes</t>
        </is>
      </c>
      <c r="S11" s="11" t="inlineStr">
        <is>
          <t>Yes</t>
        </is>
      </c>
      <c r="T11" s="11" t="inlineStr">
        <is>
          <t>Yes</t>
        </is>
      </c>
      <c r="U11" s="11" t="inlineStr">
        <is>
          <t>Yes</t>
        </is>
      </c>
      <c r="V11" s="11" t="inlineStr">
        <is>
          <t>Yes</t>
        </is>
      </c>
      <c r="W11" s="11" t="inlineStr">
        <is>
          <t>Yes</t>
        </is>
      </c>
      <c r="X11" s="11" t="inlineStr">
        <is>
          <t>No</t>
        </is>
      </c>
    </row>
    <row r="12" ht="74" customHeight="1">
      <c r="A12" s="7" t="inlineStr">
        <is>
          <t>TC-LINKREVOKE-04</t>
        </is>
      </c>
      <c r="B12" s="7" t="inlineStr">
        <is>
          <t>Idempotent - Thu hồi lần hai trên liên kết đã revoked giữ nguyên mốc thời gian ban đầu</t>
        </is>
      </c>
      <c r="C12" s="8" t="inlineStr">
        <is>
          <t>Liên kết đã ở trạng thái revoked tại thời điểm t1</t>
        </is>
      </c>
      <c r="D12" s="8" t="inlineStr">
        <is>
          <t>1. Gửi request DELETE /links/{id} lần thứ hai tại thời điểm t2 &gt; t1
2. Kiểm tra mã trạng thái và trường revoked_at trong DB</t>
        </is>
      </c>
      <c r="E12" s="8" t="inlineStr">
        <is>
          <t>link_id=1, token=Patient</t>
        </is>
      </c>
      <c r="F12" s="8" t="inlineStr">
        <is>
          <t>HTTP 204 No Content. Trong DB: revoked_at giữ nguyên mốc t1 ban đầu (không bị trôi mốc thời gian), sharing_enabled=false.</t>
        </is>
      </c>
      <c r="G12" s="8" t="inlineStr">
        <is>
          <t>HTTP 204 No Content. revoked_at giữ nguyên mốc t1 ban đầu qua COALESCE.</t>
        </is>
      </c>
      <c r="H12" s="7" t="inlineStr">
        <is>
          <t>Pass</t>
        </is>
      </c>
      <c r="I12" s="8" t="inlineStr">
        <is>
          <t>AC5 · Decision Table (R3) · test_sql_revoke_idempotent_preserves_revoked_at</t>
        </is>
      </c>
      <c r="Q12" s="6" t="inlineStr">
        <is>
          <t>Action</t>
        </is>
      </c>
      <c r="R12" s="5" t="inlineStr">
        <is>
          <t>R1</t>
        </is>
      </c>
      <c r="S12" s="5" t="inlineStr">
        <is>
          <t>R2</t>
        </is>
      </c>
      <c r="T12" s="5" t="inlineStr">
        <is>
          <t>R3</t>
        </is>
      </c>
      <c r="U12" s="5" t="inlineStr">
        <is>
          <t>R4</t>
        </is>
      </c>
      <c r="V12" s="5" t="inlineStr">
        <is>
          <t>R5</t>
        </is>
      </c>
      <c r="W12" s="5" t="inlineStr">
        <is>
          <t>R6</t>
        </is>
      </c>
      <c r="X12" s="5" t="inlineStr">
        <is>
          <t>R7</t>
        </is>
      </c>
    </row>
    <row r="13" ht="57.5" customHeight="1">
      <c r="A13" s="7" t="inlineStr">
        <is>
          <t>TC-LINKREVOKE-05</t>
        </is>
      </c>
      <c r="B13" s="7" t="inlineStr">
        <is>
          <t>Ép tắt sharing_enabled khi dữ liệu cũ đã revoked nhưng sharing_enabled=true</t>
        </is>
      </c>
      <c r="C13" s="8" t="inlineStr">
        <is>
          <t>Bản ghi cũ trong DB có status='revoked' nhưng sharing_enabled=true</t>
        </is>
      </c>
      <c r="D13" s="8" t="inlineStr">
        <is>
          <t>1. Gửi request DELETE /links/{id}
2. Kiểm tra trường sharing_enabled trong DB</t>
        </is>
      </c>
      <c r="E13" s="8" t="inlineStr">
        <is>
          <t>link_id=1, token=Patient</t>
        </is>
      </c>
      <c r="F13" s="8" t="inlineStr">
        <is>
          <t>HTTP 204 No Content. DB cập nhật sharing_enabled=false, giữ nguyên revoked_at ban đầu.</t>
        </is>
      </c>
      <c r="G13" s="8" t="inlineStr">
        <is>
          <t>HTTP 204 No Content. DB cập nhật sharing_enabled=false thành công.</t>
        </is>
      </c>
      <c r="H13" s="7" t="inlineStr">
        <is>
          <t>Pass</t>
        </is>
      </c>
      <c r="I13" s="8" t="inlineStr">
        <is>
          <t>AC5 · test_revoke_already_revoked_with_sharing_enabled_true_clears_sharing_db</t>
        </is>
      </c>
      <c r="Q13" s="10" t="inlineStr">
        <is>
          <t>HTTP 204, status='revoked', sharing_enabled=false</t>
        </is>
      </c>
      <c r="R13" s="11" t="inlineStr">
        <is>
          <t>X</t>
        </is>
      </c>
      <c r="S13" s="11" t="inlineStr">
        <is>
          <t>X</t>
        </is>
      </c>
      <c r="T13" s="11" t="inlineStr">
        <is>
          <t>X</t>
        </is>
      </c>
      <c r="U13" s="11" t="inlineStr"/>
      <c r="V13" s="11" t="inlineStr"/>
      <c r="W13" s="11" t="inlineStr"/>
      <c r="X13" s="11" t="inlineStr"/>
    </row>
    <row r="14" ht="74" customHeight="1">
      <c r="A14" s="7" t="inlineStr">
        <is>
          <t>TC-LINKREVOKE-06</t>
        </is>
      </c>
      <c r="B14" s="7" t="inlineStr">
        <is>
          <t>Thành viên liên quan gọi thu hồi trên liên kết rejected</t>
        </is>
      </c>
      <c r="C14" s="8" t="inlineStr">
        <is>
          <t>Liên kết có status='rejected'</t>
        </is>
      </c>
      <c r="D14" s="8" t="inlineStr">
        <is>
          <t>1. Patient hoặc Family Member gửi request DELETE /links/{id}</t>
        </is>
      </c>
      <c r="E14" s="8" t="inlineStr">
        <is>
          <t>link_id=3, token=Patient</t>
        </is>
      </c>
      <c r="F14" s="8" t="inlineStr">
        <is>
          <t>HTTP 422 Unprocessable Entity kèm thông báo invalid_link_transition: cannot transition family link from rejected to revoked.</t>
        </is>
      </c>
      <c r="G14" s="8" t="inlineStr">
        <is>
          <t>HTTP 422 Unprocessable Entity kèm detail invalid_link_transition.</t>
        </is>
      </c>
      <c r="H14" s="7" t="inlineStr">
        <is>
          <t>Pass</t>
        </is>
      </c>
      <c r="I14" s="8" t="inlineStr">
        <is>
          <t>Decision Table (R4) · test_owner_revoke_rejected_link_gets_422</t>
        </is>
      </c>
      <c r="Q14" s="10" t="inlineStr">
        <is>
          <t>HTTP 422 invalid_link_transition</t>
        </is>
      </c>
      <c r="R14" s="11" t="inlineStr"/>
      <c r="S14" s="11" t="inlineStr"/>
      <c r="T14" s="11" t="inlineStr"/>
      <c r="U14" s="11" t="inlineStr">
        <is>
          <t>X</t>
        </is>
      </c>
      <c r="V14" s="11" t="inlineStr"/>
      <c r="W14" s="11" t="inlineStr"/>
      <c r="X14" s="11" t="inlineStr"/>
    </row>
    <row r="15" ht="57.5" customHeight="1">
      <c r="A15" s="7" t="inlineStr">
        <is>
          <t>TC-LINKREVOKE-07</t>
        </is>
      </c>
      <c r="B15" s="7" t="inlineStr">
        <is>
          <t>Người lạ gọi thu hồi trên liên kết active</t>
        </is>
      </c>
      <c r="C15" s="8" t="inlineStr">
        <is>
          <t>Liên kết thuộc về Patient A và Family B. User C (người lạ) đăng nhập.</t>
        </is>
      </c>
      <c r="D15" s="8" t="inlineStr">
        <is>
          <t>1. User C gửi request DELETE /links/{id} của Patient A
2. Kiểm tra mã trạng thái và CSDL</t>
        </is>
      </c>
      <c r="E15" s="8" t="inlineStr">
        <is>
          <t>link_id=1, token=Stranger (User C)</t>
        </is>
      </c>
      <c r="F15" s="8" t="inlineStr">
        <is>
          <t>HTTP 403 Forbidden với body {"detail": "khong_co_quyen"}. Bản ghi trong DB hoàn toàn không bị thay đổi.</t>
        </is>
      </c>
      <c r="G15" s="8" t="inlineStr">
        <is>
          <t>HTTP 403 Forbidden {"detail": "khong_co_quyen"}. CSDL không thay đổi.</t>
        </is>
      </c>
      <c r="H15" s="7" t="inlineStr">
        <is>
          <t>Pass</t>
        </is>
      </c>
      <c r="I15" s="8" t="inlineStr">
        <is>
          <t>AC3 · Decision Table (R5) · test_stranger_revoke_active_link_gets_403_and_db_unchanged</t>
        </is>
      </c>
      <c r="Q15" s="10" t="inlineStr">
        <is>
          <t>HTTP 403 khong_co_quyen</t>
        </is>
      </c>
      <c r="R15" s="11" t="inlineStr"/>
      <c r="S15" s="11" t="inlineStr"/>
      <c r="T15" s="11" t="inlineStr"/>
      <c r="U15" s="11" t="inlineStr"/>
      <c r="V15" s="11" t="inlineStr">
        <is>
          <t>X</t>
        </is>
      </c>
      <c r="W15" s="11" t="inlineStr">
        <is>
          <t>X</t>
        </is>
      </c>
      <c r="X15" s="11" t="inlineStr"/>
    </row>
    <row r="16" ht="57.5" customHeight="1">
      <c r="A16" s="7" t="inlineStr">
        <is>
          <t>TC-LINKREVOKE-08</t>
        </is>
      </c>
      <c r="B16" s="7" t="inlineStr">
        <is>
          <t>Người lạ gọi thu hồi trên liên kết rejected</t>
        </is>
      </c>
      <c r="C16" s="8" t="inlineStr">
        <is>
          <t>Liên kết status='rejected' giữa User A và B</t>
        </is>
      </c>
      <c r="D16" s="8" t="inlineStr">
        <is>
          <t>1. User C (người lạ) gửi request DELETE /links/{id}</t>
        </is>
      </c>
      <c r="E16" s="8" t="inlineStr">
        <is>
          <t>link_id=3, token=Stranger</t>
        </is>
      </c>
      <c r="F16" s="8" t="inlineStr">
        <is>
          <t>HTTP 403 Forbidden với body {"detail": "khong_co_quyen"} (không làm lộ mã 422 cho người ngoài).</t>
        </is>
      </c>
      <c r="G16" s="8" t="inlineStr">
        <is>
          <t>HTTP 403 Forbidden {"detail": "khong_co_quyen"}.</t>
        </is>
      </c>
      <c r="H16" s="7" t="inlineStr">
        <is>
          <t>Pass</t>
        </is>
      </c>
      <c r="I16" s="8" t="inlineStr">
        <is>
          <t>AC3 · Decision Table (R6) · test_stranger_revoke_rejected_link_gets_403</t>
        </is>
      </c>
      <c r="Q16" s="10" t="inlineStr">
        <is>
          <t>HTTP 401 Unauthorized</t>
        </is>
      </c>
      <c r="R16" s="11" t="inlineStr"/>
      <c r="S16" s="11" t="inlineStr"/>
      <c r="T16" s="11" t="inlineStr"/>
      <c r="U16" s="11" t="inlineStr"/>
      <c r="V16" s="11" t="inlineStr"/>
      <c r="W16" s="11" t="inlineStr"/>
      <c r="X16" s="11" t="inlineStr">
        <is>
          <t>X</t>
        </is>
      </c>
    </row>
    <row r="17" ht="57.5" customHeight="1">
      <c r="A17" s="7" t="inlineStr">
        <is>
          <t>TC-LINKREVOKE-09</t>
        </is>
      </c>
      <c r="B17" s="7" t="inlineStr">
        <is>
          <t>Gọi thu hồi với link_id không tồn tại trong hệ thống</t>
        </is>
      </c>
      <c r="C17" s="8" t="inlineStr">
        <is>
          <t>Hệ thống không có liên kết nào có id=999999</t>
        </is>
      </c>
      <c r="D17" s="8" t="inlineStr">
        <is>
          <t>1. Gửi request DELETE /links/999999 với Bearer token hợp lệ</t>
        </is>
      </c>
      <c r="E17" s="8" t="inlineStr">
        <is>
          <t>link_id=999999</t>
        </is>
      </c>
      <c r="F17" s="8" t="inlineStr">
        <is>
          <t>HTTP 403 Forbidden với body {"detail": "khong_co_quyen"} (bảo mật: không trả 404 để chống dò quét id).</t>
        </is>
      </c>
      <c r="G17" s="8" t="inlineStr">
        <is>
          <t>HTTP 403 Forbidden {"detail": "khong_co_quyen"}.</t>
        </is>
      </c>
      <c r="H17" s="7" t="inlineStr">
        <is>
          <t>Pass</t>
        </is>
      </c>
      <c r="I17" s="8" t="inlineStr">
        <is>
          <t>AC3 · Decision Table (R6) · test_stranger_revoke_nonexistent_link_gets_403</t>
        </is>
      </c>
    </row>
    <row r="18" ht="41" customHeight="1">
      <c r="A18" s="7" t="inlineStr">
        <is>
          <t>TC-LINKREVOKE-10</t>
        </is>
      </c>
      <c r="B18" s="7" t="inlineStr">
        <is>
          <t>Gọi API khi thiếu Bearer Token hoặc token không hợp lệ</t>
        </is>
      </c>
      <c r="C18" s="8" t="inlineStr">
        <is>
          <t>Client chưa đăng nhập</t>
        </is>
      </c>
      <c r="D18" s="8" t="inlineStr">
        <is>
          <t>1. Gửi request DELETE /links/{id} không kèm header Authorization</t>
        </is>
      </c>
      <c r="E18" s="8" t="inlineStr">
        <is>
          <t>Header Authorization: (blank)</t>
        </is>
      </c>
      <c r="F18" s="8" t="inlineStr">
        <is>
          <t>HTTP 401 Unauthorized.</t>
        </is>
      </c>
      <c r="G18" s="8" t="inlineStr">
        <is>
          <t>HTTP 401 Unauthorized.</t>
        </is>
      </c>
      <c r="H18" s="7" t="inlineStr">
        <is>
          <t>Pass</t>
        </is>
      </c>
      <c r="I18" s="8" t="inlineStr">
        <is>
          <t>Decision Table (R7) · test_http_missing_token_returns_401</t>
        </is>
      </c>
    </row>
    <row r="19" ht="74" customHeight="1">
      <c r="A19" s="7" t="inlineStr">
        <is>
          <t>TC-LINKREVOKE-11</t>
        </is>
      </c>
      <c r="B19" s="7" t="inlineStr">
        <is>
          <t>Mất quyền tức thì (&lt; 5s) và Policy Enforcement Point (PEP) chặn truy cập dữ liệu sức khỏe (QA.02)</t>
        </is>
      </c>
      <c r="C19" s="8" t="inlineStr">
        <is>
          <t>Liên kết vừa bị revoke thành công</t>
        </is>
      </c>
      <c r="D19" s="8" t="inlineStr">
        <is>
          <t>1. Family Member gửi ngay request GET /patients/{id}/schedules để xem lịch thuốc
2. Đo thời gian phản hồi
3. Kiểm tra bảng access_logs trong CSDL</t>
        </is>
      </c>
      <c r="E19" s="8" t="inlineStr">
        <is>
          <t>token=Family Member vừa bị gỡ</t>
        </is>
      </c>
      <c r="F19" s="8" t="inlineStr">
        <is>
          <t>HTTP 403 Forbidden trong vòng &lt;= 5 giây. Bảng access_logs ghi nhận action='denied'.</t>
        </is>
      </c>
      <c r="G19" s="8" t="inlineStr">
        <is>
          <t>HTTP 403 Forbidden trong &lt; 5s. access_logs có bản ghi denied fail-closed.</t>
        </is>
      </c>
      <c r="H19" s="7" t="inlineStr">
        <is>
          <t>Pass</t>
        </is>
      </c>
      <c r="I19" s="8" t="inlineStr">
        <is>
          <t>AC6 · QA.02 · test_http_revoke_e2e_flow_and_health_access_denied_under_5s</t>
        </is>
      </c>
    </row>
    <row r="20" ht="74" customHeight="1">
      <c r="A20" s="7" t="inlineStr">
        <is>
          <t>TC-LINKREVOKE-12</t>
        </is>
      </c>
      <c r="B20" s="7" t="inlineStr">
        <is>
          <t>Background Worker quét bỏ lỡ không gửi thông báo cho người thân đã bị revoke</t>
        </is>
      </c>
      <c r="C20" s="8" t="inlineStr">
        <is>
          <t>Bệnh nhân bỏ lỡ liều thuốc. Liên kết với người thân đã bị revoked.</t>
        </is>
      </c>
      <c r="D20" s="8" t="inlineStr">
        <is>
          <t>1. Kích hoạt Background Job Worker scan_missed_doses
2. Kiểm tra danh sách người thân nhận thông báo cảnh báo</t>
        </is>
      </c>
      <c r="E20" s="8" t="inlineStr">
        <is>
          <t>patient_id có liều bỏ lỡ</t>
        </is>
      </c>
      <c r="F20" s="8" t="inlineStr">
        <is>
          <t>Worker chỉ gửi cảnh báo cho bệnh nhân và người thân active (sharing_enabled=true), không gửi cho người thân revoked.</t>
        </is>
      </c>
      <c r="G20" s="8" t="inlineStr">
        <is>
          <t>Worker không gửi thông báo cho người thân đã bị revoked.</t>
        </is>
      </c>
      <c r="H20" s="7" t="inlineStr">
        <is>
          <t>Pass</t>
        </is>
      </c>
      <c r="I20" s="8" t="inlineStr">
        <is>
          <t>AC6 · test_worker_scan_missed_doses_does_not_alert_revoked_family_member</t>
        </is>
      </c>
    </row>
    <row r="21"/>
    <row r="22"/>
    <row r="23">
      <c r="G23" s="12" t="inlineStr">
        <is>
          <t>Pass</t>
        </is>
      </c>
      <c r="H23" s="13">
        <f>COUNTIF(H9:H20,"Pass")</f>
        <v/>
      </c>
    </row>
    <row r="24">
      <c r="G24" s="12" t="inlineStr">
        <is>
          <t>Fail</t>
        </is>
      </c>
      <c r="H24" s="13">
        <f>COUNTIF(H9:H20,"Fail")</f>
        <v/>
      </c>
    </row>
    <row r="25">
      <c r="G25" s="12" t="inlineStr">
        <is>
          <t>Pending</t>
        </is>
      </c>
      <c r="H25" s="13">
        <f>COUNTIF(H9:H20,"Pending")</f>
        <v/>
      </c>
    </row>
    <row r="26">
      <c r="G26" s="12" t="inlineStr">
        <is>
          <t>Total</t>
        </is>
      </c>
      <c r="H26" s="13">
        <f>SUM(H23:H25)</f>
        <v/>
      </c>
    </row>
  </sheetData>
  <autoFilter ref="A8:I20"/>
  <conditionalFormatting sqref="H9:H20">
    <cfRule type="cellIs" priority="1" operator="equal" dxfId="0">
      <formula>"Fail"</formula>
    </cfRule>
  </conditionalFormatting>
  <dataValidations count="1">
    <dataValidation sqref="H9:H20" showDropDown="0" showInputMessage="0" showErrorMessage="0" allowBlank="0" type="list">
      <formula1>"Pass,Fail,Pending"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30" customWidth="1" min="3" max="3"/>
    <col width="24" customWidth="1" min="4" max="4"/>
    <col width="24" customWidth="1" min="5" max="5"/>
    <col width="24" customWidth="1" min="6" max="6"/>
    <col width="14" customWidth="1" min="7" max="7"/>
    <col width="40" customWidth="1" min="8" max="8"/>
    <col width="45" customWidth="1" min="9" max="9"/>
  </cols>
  <sheetData>
    <row r="1">
      <c r="A1" s="14" t="inlineStr">
        <is>
          <t>TEST REPORT</t>
        </is>
      </c>
    </row>
    <row r="2">
      <c r="C2" s="15" t="inlineStr">
        <is>
          <t>DrugTime Team</t>
        </is>
      </c>
      <c r="D2" s="15" t="inlineStr">
        <is>
          <t>Total</t>
        </is>
      </c>
    </row>
    <row r="3">
      <c r="A3" s="15" t="inlineStr">
        <is>
          <t>Executed</t>
        </is>
      </c>
      <c r="B3" s="9" t="inlineStr">
        <is>
          <t>Passed</t>
        </is>
      </c>
      <c r="C3" s="11">
        <f>'Gỡ liên kết người thân'!$H$23</f>
        <v/>
      </c>
      <c r="D3" s="15">
        <f>SUM(C3:C3)</f>
        <v/>
      </c>
    </row>
    <row r="4">
      <c r="A4" s="16" t="n"/>
      <c r="B4" s="9" t="inlineStr">
        <is>
          <t>Failed</t>
        </is>
      </c>
      <c r="C4" s="11">
        <f>'Gỡ liên kết người thân'!$H$24</f>
        <v/>
      </c>
      <c r="D4" s="15">
        <f>SUM(C4:C4)</f>
        <v/>
      </c>
    </row>
    <row r="5">
      <c r="A5" s="17" t="n"/>
      <c r="B5" s="9" t="inlineStr">
        <is>
          <t>(Total) Test executed (Passed + Failed)</t>
        </is>
      </c>
      <c r="C5" s="11">
        <f>C3+C4</f>
        <v/>
      </c>
      <c r="D5" s="15">
        <f>SUM(C5:C5)</f>
        <v/>
      </c>
    </row>
    <row r="6">
      <c r="A6" s="15" t="inlineStr">
        <is>
          <t>Pending</t>
        </is>
      </c>
      <c r="B6" s="10" t="inlineStr"/>
      <c r="C6" s="11">
        <f>'Gỡ liên kết người thân'!$H$25</f>
        <v/>
      </c>
      <c r="D6" s="15">
        <f>SUM(C6:C6)</f>
        <v/>
      </c>
    </row>
    <row r="7">
      <c r="A7" s="15" t="inlineStr">
        <is>
          <t>(Sub-total) Test Planned</t>
        </is>
      </c>
      <c r="B7" s="10" t="inlineStr"/>
      <c r="C7" s="11">
        <f>C5+C6</f>
        <v/>
      </c>
      <c r="D7" s="15">
        <f>SUM(C7:C7)</f>
        <v/>
      </c>
    </row>
    <row r="10">
      <c r="A10" s="5" t="inlineStr">
        <is>
          <t>Function</t>
        </is>
      </c>
      <c r="B10" s="5" t="inlineStr">
        <is>
          <t>Description</t>
        </is>
      </c>
      <c r="C10" s="5" t="inlineStr">
        <is>
          <t>Sheet Name</t>
        </is>
      </c>
      <c r="D10" s="5" t="inlineStr">
        <is>
          <t>% TCs Executed</t>
        </is>
      </c>
      <c r="E10" s="5" t="inlineStr">
        <is>
          <t>% TCs Passed</t>
        </is>
      </c>
      <c r="F10" s="5" t="inlineStr">
        <is>
          <t>% TCs Failed</t>
        </is>
      </c>
      <c r="G10" s="5" t="inlineStr">
        <is>
          <t>Priority</t>
        </is>
      </c>
      <c r="H10" s="5" t="inlineStr">
        <is>
          <t>Remarks</t>
        </is>
      </c>
      <c r="I10" s="5" t="inlineStr">
        <is>
          <t>Done by</t>
        </is>
      </c>
    </row>
    <row r="11" ht="107" customHeight="1">
      <c r="A11" s="11" t="inlineStr">
        <is>
          <t>Gỡ hoặc tự rời liên kết người thân</t>
        </is>
      </c>
      <c r="B11" s="10" t="inlineStr">
        <is>
          <t>Thu hồi hoặc tự rời liên kết người thân qua DELETE /links/{id} (SCRUM-134)</t>
        </is>
      </c>
      <c r="C11" s="11" t="inlineStr">
        <is>
          <t>Gỡ liên kết người thân</t>
        </is>
      </c>
      <c r="D11" s="18">
        <f>IFERROR(('Gỡ liên kết người thân'!$H$26-'Gỡ liên kết người thân'!$H$25)/'Gỡ liên kết người thân'!$H$26,0)</f>
        <v/>
      </c>
      <c r="E11" s="18">
        <f>IFERROR('Gỡ liên kết người thân'!$H$23/'Gỡ liên kết người thân'!$H$26,0)</f>
        <v/>
      </c>
      <c r="F11" s="18">
        <f>IFERROR('Gỡ liên kết người thân'!$H$24/'Gỡ liên kết người thân'!$H$26,0)</f>
        <v/>
      </c>
      <c r="G11" s="11" t="inlineStr">
        <is>
          <t>High</t>
        </is>
      </c>
      <c r="H11" s="10" t="inlineStr">
        <is>
          <t>Hoàn thành 100% kiểm thử tích hợp DB thật và unit test, 29/29 tests pass, bảo đảm QA.02 (&lt; 5s)</t>
        </is>
      </c>
      <c r="I11" s="11" t="inlineStr">
        <is>
          <t>DrugTime Team</t>
        </is>
      </c>
    </row>
    <row r="34">
      <c r="A34" s="19" t="inlineStr">
        <is>
          <t>Bug Report</t>
        </is>
      </c>
    </row>
    <row r="35">
      <c r="A35" s="20" t="inlineStr">
        <is>
          <t>Bug ID</t>
        </is>
      </c>
      <c r="B35" s="20" t="inlineStr">
        <is>
          <t>Description</t>
        </is>
      </c>
      <c r="C35" s="20" t="inlineStr">
        <is>
          <t>Steps to Reproduce</t>
        </is>
      </c>
      <c r="D35" s="20" t="inlineStr">
        <is>
          <t>Input Data</t>
        </is>
      </c>
      <c r="E35" s="20" t="inlineStr">
        <is>
          <t>Expected Result</t>
        </is>
      </c>
      <c r="F35" s="20" t="inlineStr">
        <is>
          <t>Actual Result</t>
        </is>
      </c>
      <c r="G35" s="20" t="inlineStr">
        <is>
          <t>Severity</t>
        </is>
      </c>
      <c r="H35" s="20" t="inlineStr">
        <is>
          <t>Name of Tester</t>
        </is>
      </c>
      <c r="I35" s="20" t="inlineStr">
        <is>
          <t>Logs</t>
        </is>
      </c>
    </row>
  </sheetData>
  <mergeCells count="2">
    <mergeCell ref="A1:G1"/>
    <mergeCell ref="A3:A5"/>
  </mergeCells>
  <conditionalFormatting sqref="F11">
    <cfRule type="cellIs" priority="1" operator="greaterThan" dxfId="0">
      <formula>0.2</formula>
    </cfRule>
  </conditionalFormatting>
  <conditionalFormatting sqref="G11">
    <cfRule type="expression" priority="2" dxfId="0">
      <formula>OR(G11="Critical",G11="High")</formula>
    </cfRule>
  </conditionalFormatting>
  <conditionalFormatting sqref="G36">
    <cfRule type="cellIs" priority="3" operator="equal" dxfId="1">
      <formula>"Critical"</formula>
    </cfRule>
    <cfRule type="cellIs" priority="4" operator="equal" dxfId="2">
      <formula>"High"</formula>
    </cfRule>
    <cfRule type="cellIs" priority="5" operator="equal" dxfId="3">
      <formula>"Medium"</formula>
    </cfRule>
  </conditionalFormatting>
  <dataValidations count="2">
    <dataValidation sqref="G11" showDropDown="0" showInputMessage="0" showErrorMessage="0" allowBlank="1" type="list">
      <formula1>"Critical,High,Medium,Low"</formula1>
    </dataValidation>
    <dataValidation sqref="G36" showDropDown="0" showInputMessage="0" showErrorMessage="0" allowBlank="1" type="list">
      <formula1>"Critical,High,Medium,Low"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2026-10-23T06:48:07Z</dcterms:created>
  <dcterms:modified xsi:type="dcterms:W3CDTF">2026-10-23T06:48:07Z</dcterms:modified>
</cp:coreProperties>
</file>