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sử tuân thủ" sheetId="1" state="visible" r:id="rId1"/>
    <sheet xmlns:r="http://schemas.openxmlformats.org/officeDocument/2006/relationships" name="Report" sheetId="2" state="visible" r:id="rId2"/>
  </sheets>
  <definedNames>
    <definedName name="_xlnm._FilterDatabase" localSheetId="0" hidden="1">'Lịch sử tuân thủ'!$A$8:$I$31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1"/>
    </font>
    <font>
      <name val="Times New Roman"/>
      <sz val="11"/>
    </font>
    <font>
      <name val="Times New Roman"/>
      <b val="1"/>
      <sz val="18"/>
    </font>
    <font>
      <name val="Times New Roman"/>
      <b val="1"/>
      <sz val="14"/>
    </font>
  </fonts>
  <fills count="5">
    <fill>
      <patternFill/>
    </fill>
    <fill>
      <patternFill patternType="gray125"/>
    </fill>
    <fill>
      <patternFill patternType="solid">
        <fgColor rgb="006AA84F"/>
      </patternFill>
    </fill>
    <fill>
      <patternFill patternType="solid">
        <fgColor rgb="00A8D08D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9" fontId="2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9C0006"/>
      </font>
      <fill>
        <patternFill patternType="solid">
          <bgColor rgb="00FFC7CE"/>
        </patternFill>
      </fill>
    </dxf>
    <dxf>
      <font>
        <b val="1"/>
        <color rgb="00FFFFFF"/>
      </font>
      <fill>
        <patternFill patternType="solid">
          <bgColor rgb="00C00000"/>
        </patternFill>
      </fill>
    </dxf>
    <dxf>
      <font>
        <b val="1"/>
        <color rgb="00FFFFFF"/>
      </font>
      <fill>
        <patternFill patternType="solid">
          <bgColor rgb="00FF0000"/>
        </patternFill>
      </fill>
    </dxf>
    <dxf>
      <font>
        <b val="1"/>
        <color rgb="00000000"/>
      </font>
      <fill>
        <patternFill patternType="solid">
          <bgColor rgb="00FFE5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Kết quả theo chức năng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</f>
            </numRef>
          </cat>
          <val>
            <numRef>
              <f>'Report'!$D$11</f>
            </numRef>
          </val>
        </ser>
        <ser>
          <idx val="1"/>
          <order val="1"/>
          <tx>
            <strRef>
              <f>'Report'!E10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</f>
            </numRef>
          </cat>
          <val>
            <numRef>
              <f>'Report'!$E$11</f>
            </numRef>
          </val>
        </ser>
        <ser>
          <idx val="2"/>
          <order val="2"/>
          <tx>
            <strRef>
              <f>'Report'!F10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</f>
            </numRef>
          </cat>
          <val>
            <numRef>
              <f>'Report'!$F$11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Tổng Pass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'Report'!$B$3:$B$4</f>
            </numRef>
          </cat>
          <val>
            <numRef>
              <f>'Report'!$D$3:$D$4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13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2" customWidth="1" min="3" max="3"/>
    <col width="50" customWidth="1" min="4" max="4"/>
    <col width="32" customWidth="1" min="5" max="5"/>
    <col width="45" customWidth="1" min="6" max="6"/>
    <col width="45" customWidth="1" min="7" max="7"/>
    <col width="12" customWidth="1" min="8" max="8"/>
    <col width="34" customWidth="1" min="9" max="9"/>
    <col width="22" customWidth="1" min="11" max="11"/>
    <col width="34" customWidth="1" min="12" max="12"/>
    <col width="7" customWidth="1" min="13" max="13"/>
    <col width="34" customWidth="1" min="14" max="14"/>
    <col width="7" customWidth="1" min="15" max="15"/>
    <col width="34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Project Name</t>
        </is>
      </c>
      <c r="B1" s="2" t="inlineStr">
        <is>
          <t>DrugTime</t>
        </is>
      </c>
    </row>
    <row r="2">
      <c r="A2" s="1" t="inlineStr">
        <is>
          <t>Module Name</t>
        </is>
      </c>
      <c r="B2" s="2" t="inlineStr">
        <is>
          <t>Lịch sử tuân thủ theo consent (ADHERENCE)</t>
        </is>
      </c>
    </row>
    <row r="3">
      <c r="A3" s="1" t="inlineStr">
        <is>
          <t>Created By</t>
        </is>
      </c>
      <c r="B3" s="2" t="inlineStr">
        <is>
          <t>Ngọc Việt</t>
        </is>
      </c>
    </row>
    <row r="4">
      <c r="A4" s="1" t="inlineStr">
        <is>
          <t>Creation Date</t>
        </is>
      </c>
      <c r="B4" s="3" t="n">
        <v>46316</v>
      </c>
    </row>
    <row r="5">
      <c r="A5" s="1" t="inlineStr">
        <is>
          <t>Reviewed By</t>
        </is>
      </c>
      <c r="B5" s="2" t="inlineStr"/>
    </row>
    <row r="6">
      <c r="A6" s="1" t="inlineStr">
        <is>
          <t>Reviewed Date</t>
        </is>
      </c>
      <c r="B6" s="2" t="n"/>
    </row>
    <row r="7">
      <c r="K7" s="4" t="inlineStr">
        <is>
          <t>Equivalence Partitioning</t>
        </is>
      </c>
      <c r="Q7" s="4" t="inlineStr">
        <is>
          <t>Quyền đọc lịch sử</t>
        </is>
      </c>
    </row>
    <row r="8">
      <c r="A8" s="1" t="inlineStr">
        <is>
          <t>Test Case ID</t>
        </is>
      </c>
      <c r="B8" s="1" t="inlineStr">
        <is>
          <t>Description</t>
        </is>
      </c>
      <c r="C8" s="1" t="inlineStr">
        <is>
          <t>Precondition</t>
        </is>
      </c>
      <c r="D8" s="1" t="inlineStr">
        <is>
          <t>Test Steps</t>
        </is>
      </c>
      <c r="E8" s="1" t="inlineStr">
        <is>
          <t>Test Data</t>
        </is>
      </c>
      <c r="F8" s="1" t="inlineStr">
        <is>
          <t>Expected Result</t>
        </is>
      </c>
      <c r="G8" s="1" t="inlineStr">
        <is>
          <t>Actual Result</t>
        </is>
      </c>
      <c r="H8" s="1" t="inlineStr">
        <is>
          <t>Status</t>
        </is>
      </c>
      <c r="I8" s="1" t="inlineStr">
        <is>
          <t>Comments(if any)</t>
        </is>
      </c>
      <c r="K8" s="5" t="inlineStr">
        <is>
          <t>Field</t>
        </is>
      </c>
      <c r="L8" s="5" t="inlineStr">
        <is>
          <t>Valid</t>
        </is>
      </c>
      <c r="M8" s="5" t="inlineStr">
        <is>
          <t>Num</t>
        </is>
      </c>
      <c r="N8" s="5" t="inlineStr">
        <is>
          <t>Invalid</t>
        </is>
      </c>
      <c r="O8" s="5" t="inlineStr">
        <is>
          <t>Num</t>
        </is>
      </c>
      <c r="Q8" s="6" t="inlineStr">
        <is>
          <t>Rule</t>
        </is>
      </c>
      <c r="R8" s="5" t="inlineStr">
        <is>
          <t>R1</t>
        </is>
      </c>
      <c r="S8" s="5" t="inlineStr">
        <is>
          <t>R2</t>
        </is>
      </c>
      <c r="T8" s="5" t="inlineStr">
        <is>
          <t>R3</t>
        </is>
      </c>
      <c r="U8" s="5" t="inlineStr">
        <is>
          <t>R4</t>
        </is>
      </c>
      <c r="V8" s="5" t="inlineStr">
        <is>
          <t>R5</t>
        </is>
      </c>
      <c r="W8" s="5" t="inlineStr">
        <is>
          <t>R6</t>
        </is>
      </c>
      <c r="X8" s="5" t="inlineStr">
        <is>
          <t>R7</t>
        </is>
      </c>
    </row>
    <row r="9" ht="156.5" customHeight="1">
      <c r="A9" s="7" t="inlineStr">
        <is>
          <t>TC-ADHERENCE-01</t>
        </is>
      </c>
      <c r="B9" s="7" t="inlineStr">
        <is>
          <t>Xem lịch sử của chính bệnh nhân</t>
        </is>
      </c>
      <c r="C9" s="8" t="inlineStr">
        <is>
          <t>Bệnh nhân P có consent health_data; có lịch uống và một liều đã uống.</t>
        </is>
      </c>
      <c r="D9" s="8" t="inlineStr">
        <is>
          <t>1. Đăng nhập bằng tài khoản P.
2. Gửi GET /adherence?patient_id=P với bearer token của P.
3. Kiểm response và access_logs.</t>
        </is>
      </c>
      <c r="E9" s="8" t="inlineStr">
        <is>
          <t>P; ngày 2026-10-19; liều 08:00 da_uong</t>
        </is>
      </c>
      <c r="F9" s="8" t="inlineStr">
        <is>
          <t>200; patient_id=P; có liều đã uống; access_logs có allowed, actor_role=patient, data_scope=lich_su_tuan_thu.</t>
        </is>
      </c>
      <c r="G9" s="8" t="inlineStr">
        <is>
          <t>Test tương ứng trong Comments PASSED sau migration; evidence/test-migration.log.</t>
        </is>
      </c>
      <c r="H9" s="7" t="inlineStr">
        <is>
          <t>Pass</t>
        </is>
      </c>
      <c r="I9" s="8" t="inlineStr">
        <is>
          <t>AC2 · EP (1) · Decision Table (R1) · test_self_and_family_success_are_audited_with_minimal_metadata__AC1_AC2</t>
        </is>
      </c>
      <c r="K9" s="9" t="inlineStr">
        <is>
          <t>patient_id và vai trò</t>
        </is>
      </c>
      <c r="L9" s="10" t="inlineStr">
        <is>
          <t>Bỏ trống hoặc chính bệnh nhân
Người thân liên kết active với consent đầy đủ</t>
        </is>
      </c>
      <c r="M9" s="10" t="inlineStr">
        <is>
          <t>1
2</t>
        </is>
      </c>
      <c r="N9" s="10" t="inlineStr">
        <is>
          <t>Người thân không liên kết
Liên kết tắt chia sẻ
Thiếu health_data
Thiếu family_sharing
Đổi sang bệnh nhân khác
Thiếu hoặc sai token
UUID sai định dạng
Admin dù tự gọi hoặc có liên kết</t>
        </is>
      </c>
      <c r="O9" s="10" t="inlineStr">
        <is>
          <t>3
4
5
6
7
8
9
10</t>
        </is>
      </c>
      <c r="Q9" s="10" t="inlineStr">
        <is>
          <t>Vai trò</t>
        </is>
      </c>
      <c r="R9" s="11" t="inlineStr">
        <is>
          <t>patient</t>
        </is>
      </c>
      <c r="S9" s="11" t="inlineStr">
        <is>
          <t>family</t>
        </is>
      </c>
      <c r="T9" s="11" t="inlineStr">
        <is>
          <t>family</t>
        </is>
      </c>
      <c r="U9" s="11" t="inlineStr">
        <is>
          <t>family</t>
        </is>
      </c>
      <c r="V9" s="11" t="inlineStr">
        <is>
          <t>family</t>
        </is>
      </c>
      <c r="W9" s="11" t="inlineStr">
        <is>
          <t>family</t>
        </is>
      </c>
      <c r="X9" s="11" t="inlineStr">
        <is>
          <t>admin</t>
        </is>
      </c>
    </row>
    <row r="10" ht="74" customHeight="1">
      <c r="A10" s="7" t="inlineStr">
        <is>
          <t>TC-ADHERENCE-02</t>
        </is>
      </c>
      <c r="B10" s="7" t="inlineStr">
        <is>
          <t>Xem lịch sử bệnh nhân từ người thân được chia sẻ</t>
        </is>
      </c>
      <c r="C10" s="8" t="inlineStr">
        <is>
          <t>P có health_data và family_sharing; F có caregiver_link active, sharing_enabled=true; P có một liều đã uống.</t>
        </is>
      </c>
      <c r="D10" s="8" t="inlineStr">
        <is>
          <t>1. Đăng nhập bằng tài khoản F.
2. Gửi GET /adherence?patient_id=P.
3. Kiểm nhóm liều và access_logs.</t>
        </is>
      </c>
      <c r="E10" s="8" t="inlineStr">
        <is>
          <t>P; F; from=2026-10-19; to=2026-10-19</t>
        </is>
      </c>
      <c r="F10" s="8" t="inlineStr">
        <is>
          <t>200; patient_id=P; nhóm và tổng hợp đúng liều của P; access_logs có allowed, actor_role=family.</t>
        </is>
      </c>
      <c r="G10" s="8" t="inlineStr">
        <is>
          <t>Test tương ứng trong Comments PASSED sau migration; evidence/test-migration.log.</t>
        </is>
      </c>
      <c r="H10" s="7" t="inlineStr">
        <is>
          <t>Pass</t>
        </is>
      </c>
      <c r="I10" s="8" t="inlineStr">
        <is>
          <t>AC1 · EP (2) · Decision Table (R2) · test_self_and_family_success_are_audited_with_minimal_metadata__AC1_AC2</t>
        </is>
      </c>
      <c r="Q10" s="10" t="inlineStr">
        <is>
          <t>Liên kết active và bật chia sẻ</t>
        </is>
      </c>
      <c r="R10" s="11" t="inlineStr">
        <is>
          <t>-</t>
        </is>
      </c>
      <c r="S10" s="11" t="inlineStr">
        <is>
          <t>Yes</t>
        </is>
      </c>
      <c r="T10" s="11" t="inlineStr">
        <is>
          <t>No</t>
        </is>
      </c>
      <c r="U10" s="11" t="inlineStr">
        <is>
          <t>No</t>
        </is>
      </c>
      <c r="V10" s="11" t="inlineStr">
        <is>
          <t>Yes</t>
        </is>
      </c>
      <c r="W10" s="11" t="inlineStr">
        <is>
          <t>Yes</t>
        </is>
      </c>
      <c r="X10" s="11" t="inlineStr">
        <is>
          <t>Yes</t>
        </is>
      </c>
    </row>
    <row r="11" ht="74" customHeight="1">
      <c r="A11" s="7" t="inlineStr">
        <is>
          <t>TC-ADHERENCE-03</t>
        </is>
      </c>
      <c r="B11" s="7" t="inlineStr">
        <is>
          <t>Từ chối người thân không có liên kết</t>
        </is>
      </c>
      <c r="C11" s="8" t="inlineStr">
        <is>
          <t>P có consent; F không có caregiver_link với P; P có liều đã uống.</t>
        </is>
      </c>
      <c r="D11" s="8" t="inlineStr">
        <is>
          <t>1. Đăng nhập F.
2. Gửi GET /adherence?patient_id=P.
3. Kiểm response và access_logs.</t>
        </is>
      </c>
      <c r="E11" s="8" t="inlineStr">
        <is>
          <t>P; F không liên kết</t>
        </is>
      </c>
      <c r="F11" s="8" t="inlineStr">
        <is>
          <t>403 {"detail":"khong_co_quyen"}; không có lịch sử; access_logs có denied cho P.</t>
        </is>
      </c>
      <c r="G11" s="8" t="inlineStr">
        <is>
          <t>Test tương ứng trong Comments PASSED sau migration; evidence/test-migration.log.</t>
        </is>
      </c>
      <c r="H11" s="7" t="inlineStr">
        <is>
          <t>Pass</t>
        </is>
      </c>
      <c r="I11" s="8" t="inlineStr">
        <is>
          <t>AC3 · EP (3) · Decision Table (R3) · test_unlinked_missing_consents_sharing_off_admin_denied_and_audited__AC11</t>
        </is>
      </c>
      <c r="Q11" s="10" t="inlineStr">
        <is>
          <t>health_data</t>
        </is>
      </c>
      <c r="R11" s="11" t="inlineStr">
        <is>
          <t>Yes</t>
        </is>
      </c>
      <c r="S11" s="11" t="inlineStr">
        <is>
          <t>Yes</t>
        </is>
      </c>
      <c r="T11" s="11" t="inlineStr">
        <is>
          <t>Yes</t>
        </is>
      </c>
      <c r="U11" s="11" t="inlineStr">
        <is>
          <t>Yes</t>
        </is>
      </c>
      <c r="V11" s="11" t="inlineStr">
        <is>
          <t>No</t>
        </is>
      </c>
      <c r="W11" s="11" t="inlineStr">
        <is>
          <t>Yes</t>
        </is>
      </c>
      <c r="X11" s="11" t="inlineStr">
        <is>
          <t>Yes</t>
        </is>
      </c>
    </row>
    <row r="12" ht="74" customHeight="1">
      <c r="A12" s="7" t="inlineStr">
        <is>
          <t>TC-ADHERENCE-04</t>
        </is>
      </c>
      <c r="B12" s="7" t="inlineStr">
        <is>
          <t>Từ chối khi tắt công tắc chia sẻ</t>
        </is>
      </c>
      <c r="C12" s="8" t="inlineStr">
        <is>
          <t>F có link active tới P; P có hai consent; sharing_enabled=false.</t>
        </is>
      </c>
      <c r="D12" s="8" t="inlineStr">
        <is>
          <t>1. Đăng nhập F.
2. Gửi GET /adherence?patient_id=P.
3. Kiểm access_logs.</t>
        </is>
      </c>
      <c r="E12" s="8" t="inlineStr">
        <is>
          <t>sharing_enabled=false</t>
        </is>
      </c>
      <c r="F12" s="8" t="inlineStr">
        <is>
          <t>403 khong_co_quyen; không có lịch sử; access_logs có denied.</t>
        </is>
      </c>
      <c r="G12" s="8" t="inlineStr">
        <is>
          <t>Test tương ứng trong Comments PASSED sau migration; evidence/test-migration.log.</t>
        </is>
      </c>
      <c r="H12" s="7" t="inlineStr">
        <is>
          <t>Pass</t>
        </is>
      </c>
      <c r="I12" s="8" t="inlineStr">
        <is>
          <t>AC3 · EP (4) · Decision Table (R4) · test_unlinked_missing_consents_sharing_off_admin_denied_and_audited__AC11</t>
        </is>
      </c>
      <c r="Q12" s="10" t="inlineStr">
        <is>
          <t>family_sharing</t>
        </is>
      </c>
      <c r="R12" s="11" t="inlineStr">
        <is>
          <t>-</t>
        </is>
      </c>
      <c r="S12" s="11" t="inlineStr">
        <is>
          <t>Yes</t>
        </is>
      </c>
      <c r="T12" s="11" t="inlineStr">
        <is>
          <t>Yes</t>
        </is>
      </c>
      <c r="U12" s="11" t="inlineStr">
        <is>
          <t>Yes</t>
        </is>
      </c>
      <c r="V12" s="11" t="inlineStr">
        <is>
          <t>Yes</t>
        </is>
      </c>
      <c r="W12" s="11" t="inlineStr">
        <is>
          <t>No</t>
        </is>
      </c>
      <c r="X12" s="11" t="inlineStr">
        <is>
          <t>Yes</t>
        </is>
      </c>
    </row>
    <row r="13" ht="74" customHeight="1">
      <c r="A13" s="7" t="inlineStr">
        <is>
          <t>TC-ADHERENCE-05</t>
        </is>
      </c>
      <c r="B13" s="7" t="inlineStr">
        <is>
          <t>Từ chối khi thiếu consent sức khỏe</t>
        </is>
      </c>
      <c r="C13" s="8" t="inlineStr">
        <is>
          <t>F có link active và sharing_enabled=true; P không còn health_data.</t>
        </is>
      </c>
      <c r="D13" s="8" t="inlineStr">
        <is>
          <t>1. Đăng nhập F.
2. Gửi GET /adherence?patient_id=P.
3. Kiểm access_logs.</t>
        </is>
      </c>
      <c r="E13" s="8" t="inlineStr">
        <is>
          <t>health_data=thu_hoi</t>
        </is>
      </c>
      <c r="F13" s="8" t="inlineStr">
        <is>
          <t>403 khong_co_quyen; không có lịch sử; access_logs có denied.</t>
        </is>
      </c>
      <c r="G13" s="8" t="inlineStr">
        <is>
          <t>Test tương ứng trong Comments PASSED sau migration; evidence/test-migration.log.</t>
        </is>
      </c>
      <c r="H13" s="7" t="inlineStr">
        <is>
          <t>Pass</t>
        </is>
      </c>
      <c r="I13" s="8" t="inlineStr">
        <is>
          <t>AC4 · EP (5) · Decision Table (R5) · test_unlinked_missing_consents_sharing_off_admin_denied_and_audited__AC11</t>
        </is>
      </c>
      <c r="Q13" s="6" t="inlineStr">
        <is>
          <t>Action</t>
        </is>
      </c>
      <c r="R13" s="5" t="inlineStr">
        <is>
          <t>R1</t>
        </is>
      </c>
      <c r="S13" s="5" t="inlineStr">
        <is>
          <t>R2</t>
        </is>
      </c>
      <c r="T13" s="5" t="inlineStr">
        <is>
          <t>R3</t>
        </is>
      </c>
      <c r="U13" s="5" t="inlineStr">
        <is>
          <t>R4</t>
        </is>
      </c>
      <c r="V13" s="5" t="inlineStr">
        <is>
          <t>R5</t>
        </is>
      </c>
      <c r="W13" s="5" t="inlineStr">
        <is>
          <t>R6</t>
        </is>
      </c>
      <c r="X13" s="5" t="inlineStr">
        <is>
          <t>R7</t>
        </is>
      </c>
    </row>
    <row r="14" ht="74" customHeight="1">
      <c r="A14" s="7" t="inlineStr">
        <is>
          <t>TC-ADHERENCE-06</t>
        </is>
      </c>
      <c r="B14" s="7" t="inlineStr">
        <is>
          <t>Từ chối khi thiếu consent chia sẻ gia đình</t>
        </is>
      </c>
      <c r="C14" s="8" t="inlineStr">
        <is>
          <t>F có link active và sharing_enabled=true; P không còn family_sharing.</t>
        </is>
      </c>
      <c r="D14" s="8" t="inlineStr">
        <is>
          <t>1. Đăng nhập F.
2. Gửi GET /adherence?patient_id=P.
3. Kiểm access_logs.</t>
        </is>
      </c>
      <c r="E14" s="8" t="inlineStr">
        <is>
          <t>family_sharing=thu_hoi</t>
        </is>
      </c>
      <c r="F14" s="8" t="inlineStr">
        <is>
          <t>403 khong_co_quyen; không có lịch sử; access_logs có denied.</t>
        </is>
      </c>
      <c r="G14" s="8" t="inlineStr">
        <is>
          <t>Test tương ứng trong Comments PASSED sau migration; evidence/test-migration.log.</t>
        </is>
      </c>
      <c r="H14" s="7" t="inlineStr">
        <is>
          <t>Pass</t>
        </is>
      </c>
      <c r="I14" s="8" t="inlineStr">
        <is>
          <t>AC4 · EP (6) · Decision Table (R6) · test_unlinked_missing_consents_sharing_off_admin_denied_and_audited__AC11</t>
        </is>
      </c>
      <c r="Q14" s="10" t="inlineStr">
        <is>
          <t>200 + allowed</t>
        </is>
      </c>
      <c r="R14" s="11" t="inlineStr">
        <is>
          <t>X</t>
        </is>
      </c>
      <c r="S14" s="11" t="inlineStr">
        <is>
          <t>X</t>
        </is>
      </c>
      <c r="T14" s="11" t="inlineStr"/>
      <c r="U14" s="11" t="inlineStr"/>
      <c r="V14" s="11" t="inlineStr"/>
      <c r="W14" s="11" t="inlineStr"/>
      <c r="X14" s="11" t="inlineStr"/>
    </row>
    <row r="15" ht="90.5" customHeight="1">
      <c r="A15" s="7" t="inlineStr">
        <is>
          <t>TC-ADHERENCE-07</t>
        </is>
      </c>
      <c r="B15" s="7" t="inlineStr">
        <is>
          <t>Từ chối ngay sau khi rút consent với cùng token</t>
        </is>
      </c>
      <c r="C15" s="8" t="inlineStr">
        <is>
          <t>F đang được phép đọc P; lưu bearer token của F.</t>
        </is>
      </c>
      <c r="D15" s="8" t="inlineStr">
        <is>
          <t>1. Gửi GET /adherence?patient_id=P và xác nhận 200.
2. Rút health_data hoặc family_sharing của P.
3. Gửi lại cùng request với token cũ.
4. Kiểm access_logs.</t>
        </is>
      </c>
      <c r="E15" s="8" t="inlineStr">
        <is>
          <t>P; F; token không đổi</t>
        </is>
      </c>
      <c r="F15" s="8" t="inlineStr">
        <is>
          <t>Request thứ hai 403 khong_co_quyen; access_logs có allowed rồi denied, không trả lịch sử.</t>
        </is>
      </c>
      <c r="G15" s="8" t="inlineStr">
        <is>
          <t>Test tương ứng trong Comments PASSED sau migration; evidence/test-migration.log.</t>
        </is>
      </c>
      <c r="H15" s="7" t="inlineStr">
        <is>
          <t>Pass</t>
        </is>
      </c>
      <c r="I15" s="8" t="inlineStr">
        <is>
          <t>AC5 · Decision Table (R5,R6) · test_revoke_sharing_off_unlink_denies_immediate_next_request_same_token__AC12</t>
        </is>
      </c>
      <c r="Q15" s="10" t="inlineStr">
        <is>
          <t>403 + denied</t>
        </is>
      </c>
      <c r="R15" s="11" t="inlineStr"/>
      <c r="S15" s="11" t="inlineStr"/>
      <c r="T15" s="11" t="inlineStr">
        <is>
          <t>X</t>
        </is>
      </c>
      <c r="U15" s="11" t="inlineStr">
        <is>
          <t>X</t>
        </is>
      </c>
      <c r="V15" s="11" t="inlineStr">
        <is>
          <t>X</t>
        </is>
      </c>
      <c r="W15" s="11" t="inlineStr">
        <is>
          <t>X</t>
        </is>
      </c>
      <c r="X15" s="11" t="inlineStr">
        <is>
          <t>X</t>
        </is>
      </c>
    </row>
    <row r="16" ht="107" customHeight="1">
      <c r="A16" s="7" t="inlineStr">
        <is>
          <t>TC-ADHERENCE-08</t>
        </is>
      </c>
      <c r="B16" s="7" t="inlineStr">
        <is>
          <t>Từ chối ngay sau khi hủy liên kết hoặc tắt chia sẻ</t>
        </is>
      </c>
      <c r="C16" s="8" t="inlineStr">
        <is>
          <t>F đang được phép đọc P; lưu bearer token của F.</t>
        </is>
      </c>
      <c r="D16" s="8" t="inlineStr">
        <is>
          <t>1. Gửi GET /adherence?patient_id=P và xác nhận 200.
2. Hủy caregiver_link hoặc tắt sharing_enabled.
3. Gửi lại với token cũ.
4. Kiểm access_logs.</t>
        </is>
      </c>
      <c r="E16" s="8" t="inlineStr">
        <is>
          <t>P; F; token không đổi</t>
        </is>
      </c>
      <c r="F16" s="8" t="inlineStr">
        <is>
          <t>Request thứ hai 403 khong_co_quyen; access_logs có allowed rồi denied.</t>
        </is>
      </c>
      <c r="G16" s="8" t="inlineStr">
        <is>
          <t>Test tương ứng trong Comments PASSED sau migration; evidence/test-migration.log.</t>
        </is>
      </c>
      <c r="H16" s="7" t="inlineStr">
        <is>
          <t>Pass</t>
        </is>
      </c>
      <c r="I16" s="8" t="inlineStr">
        <is>
          <t>AC5 · Decision Table (R3,R4) · test_revoke_sharing_off_unlink_denies_immediate_next_request_same_token__AC12</t>
        </is>
      </c>
    </row>
    <row r="17" ht="90.5" customHeight="1">
      <c r="A17" s="7" t="inlineStr">
        <is>
          <t>TC-ADHERENCE-09</t>
        </is>
      </c>
      <c r="B17" s="7" t="inlineStr">
        <is>
          <t>Từ chối đổi patient_id sang bệnh nhân khác</t>
        </is>
      </c>
      <c r="C17" s="8" t="inlineStr">
        <is>
          <t>F có quyền với P nhưng không có quyền với Q; Q có lịch sử liều.</t>
        </is>
      </c>
      <c r="D17" s="8" t="inlineStr">
        <is>
          <t>1. Đăng nhập F.
2. Gửi GET /adherence?patient_id=P và xác nhận 200.
3. Đổi patient_id=Q rồi gửi lại.
4. Kiểm access_logs của Q.</t>
        </is>
      </c>
      <c r="E17" s="8" t="inlineStr">
        <is>
          <t>P; Q; F chỉ liên kết P</t>
        </is>
      </c>
      <c r="F17" s="8" t="inlineStr">
        <is>
          <t>Request Q trả 403 khong_co_quyen; không có lịch sử Q; access_logs Q có denied.</t>
        </is>
      </c>
      <c r="G17" s="8" t="inlineStr">
        <is>
          <t>Test tương ứng trong Comments PASSED sau migration; evidence/test-migration.log.</t>
        </is>
      </c>
      <c r="H17" s="7" t="inlineStr">
        <is>
          <t>Pass</t>
        </is>
      </c>
      <c r="I17" s="8" t="inlineStr">
        <is>
          <t>AC6 · EP (7) · test_family_patient_selector_tamper_does_not_read_other_patient__AC11</t>
        </is>
      </c>
    </row>
    <row r="18" ht="57.5" customHeight="1">
      <c r="A18" s="7" t="inlineStr">
        <is>
          <t>TC-ADHERENCE-10</t>
        </is>
      </c>
      <c r="B18" s="7" t="inlineStr">
        <is>
          <t>Không trả lịch sử khi ghi audit allowed thất bại</t>
        </is>
      </c>
      <c r="C18" s="8" t="inlineStr">
        <is>
          <t>P có consent và lịch sử; DB api_role bị giả lập lỗi INSERT access_logs.</t>
        </is>
      </c>
      <c r="D18" s="8" t="inlineStr">
        <is>
          <t>1. Gửi GET /adherence bằng token P.
2. Kiểm response, audit và dữ liệu liều.</t>
        </is>
      </c>
      <c r="E18" s="8" t="inlineStr">
        <is>
          <t>Lỗi INSERT access_logs</t>
        </is>
      </c>
      <c r="F18" s="8" t="inlineStr">
        <is>
          <t>500; no-store; không có lịch sử trong response và không làm thay đổi dose_logs.</t>
        </is>
      </c>
      <c r="G18" s="8" t="inlineStr">
        <is>
          <t>Test tương ứng trong Comments PASSED sau migration; evidence/test-migration.log.</t>
        </is>
      </c>
      <c r="H18" s="7" t="inlineStr">
        <is>
          <t>Pass</t>
        </is>
      </c>
      <c r="I18" s="8" t="inlineStr">
        <is>
          <t>AC7 · test_audit_permission_and_commit_failure_fail_closed_without_health__AC13</t>
        </is>
      </c>
    </row>
    <row r="19" ht="57.5" customHeight="1">
      <c r="A19" s="7" t="inlineStr">
        <is>
          <t>TC-ADHERENCE-11</t>
        </is>
      </c>
      <c r="B19" s="7" t="inlineStr">
        <is>
          <t>Giữ log denied sau khi request rollback</t>
        </is>
      </c>
      <c r="C19" s="8" t="inlineStr">
        <is>
          <t>P đã rút health_data; request bị từ chối và transaction chính rollback.</t>
        </is>
      </c>
      <c r="D19" s="8" t="inlineStr">
        <is>
          <t>1. Gửi GET /adherence bằng token P.
2. Kiểm response.
3. Đọc access_logs bằng kết nối quản trị.</t>
        </is>
      </c>
      <c r="E19" s="8" t="inlineStr">
        <is>
          <t>health_data=thu_hoi</t>
        </is>
      </c>
      <c r="F19" s="8" t="inlineStr">
        <is>
          <t>403 consent_revoked; access_logs vẫn có denied cho scope lich_su_tuan_thu.</t>
        </is>
      </c>
      <c r="G19" s="8" t="inlineStr">
        <is>
          <t>Test tương ứng trong Comments PASSED sau migration; evidence/test-migration.log.</t>
        </is>
      </c>
      <c r="H19" s="7" t="inlineStr">
        <is>
          <t>Pass</t>
        </is>
      </c>
      <c r="I19" s="8" t="inlineStr">
        <is>
          <t>AC7 · test_denied_audit_survives_outer_transaction_rollback__AC13</t>
        </is>
      </c>
    </row>
    <row r="20" ht="74" customHeight="1">
      <c r="A20" s="7" t="inlineStr">
        <is>
          <t>TC-ADHERENCE-12</t>
        </is>
      </c>
      <c r="B20" s="7" t="inlineStr">
        <is>
          <t>Từ chối khi thiếu hoặc sai bearer token</t>
        </is>
      </c>
      <c r="C20" s="8" t="inlineStr">
        <is>
          <t>P có lịch sử liều.</t>
        </is>
      </c>
      <c r="D20" s="8" t="inlineStr">
        <is>
          <t>1. Gửi GET /adherence không có Authorization.
2. Gửi lại với Authorization: Bearer invalid-token.
3. Kiểm response và access_logs.</t>
        </is>
      </c>
      <c r="E20" s="8" t="inlineStr">
        <is>
          <t>Authorization=(blank) hoặc Bearer invalid-token</t>
        </is>
      </c>
      <c r="F20" s="8" t="inlineStr">
        <is>
          <t>401; response không chứa lịch sử; Cache-Control=no-store; không có allowed log.</t>
        </is>
      </c>
      <c r="G20" s="8" t="inlineStr">
        <is>
          <t>Test tương ứng trong Comments PASSED sau migration; evidence/test-migration.log.</t>
        </is>
      </c>
      <c r="H20" s="7" t="inlineStr">
        <is>
          <t>Pass</t>
        </is>
      </c>
      <c r="I20" s="8" t="inlineStr">
        <is>
          <t>AC8 · EP (8) · test_authentication_401_and_no_store_without_health_payload__AC14</t>
        </is>
      </c>
    </row>
    <row r="21" ht="57.5" customHeight="1">
      <c r="A21" s="7" t="inlineStr">
        <is>
          <t>TC-ADHERENCE-13</t>
        </is>
      </c>
      <c r="B21" s="7" t="inlineStr">
        <is>
          <t>Từ chối patient_id sai định dạng</t>
        </is>
      </c>
      <c r="C21" s="8" t="inlineStr">
        <is>
          <t>P có lịch sử liều và token hợp lệ.</t>
        </is>
      </c>
      <c r="D21" s="8" t="inlineStr">
        <is>
          <t>1. Gửi GET /adherence?patient_id=invalid-uuid bằng token P.
2. Kiểm response.</t>
        </is>
      </c>
      <c r="E21" s="8" t="inlineStr">
        <is>
          <t>patient_id=invalid-uuid</t>
        </is>
      </c>
      <c r="F21" s="8" t="inlineStr">
        <is>
          <t>422; response không chứa lịch sử; Cache-Control=no-store.</t>
        </is>
      </c>
      <c r="G21" s="8" t="inlineStr">
        <is>
          <t>Test tương ứng trong Comments PASSED sau migration; evidence/test-migration.log.</t>
        </is>
      </c>
      <c r="H21" s="7" t="inlineStr">
        <is>
          <t>Pass</t>
        </is>
      </c>
      <c r="I21" s="8" t="inlineStr">
        <is>
          <t>AC8 · EP (9) · test_bad_queries_are_422_without_health_payload__AC14</t>
        </is>
      </c>
    </row>
    <row r="22" ht="74" customHeight="1">
      <c r="A22" s="7" t="inlineStr">
        <is>
          <t>TC-ADHERENCE-14</t>
        </is>
      </c>
      <c r="B22" s="7" t="inlineStr">
        <is>
          <t>Từ chối admin xem lịch sử của chính mình</t>
        </is>
      </c>
      <c r="C22" s="8" t="inlineStr">
        <is>
          <t>Admin A có health_data và một liều đã uống.</t>
        </is>
      </c>
      <c r="D22" s="8" t="inlineStr">
        <is>
          <t>1. Đăng nhập A.
2. Gửi GET /adherence?patient_id=A.
3. Kiểm response, access_logs và dose_logs.</t>
        </is>
      </c>
      <c r="E22" s="8" t="inlineStr">
        <is>
          <t>A có system_role=admin</t>
        </is>
      </c>
      <c r="F22" s="8" t="inlineStr">
        <is>
          <t>403 khong_co_quyen; không lộ liều; access_logs denied actor_role=admin; dose_logs không đổi.</t>
        </is>
      </c>
      <c r="G22" s="8" t="inlineStr">
        <is>
          <t>Test tương ứng trong Comments PASSED sau migration; evidence/test-migration.log.</t>
        </is>
      </c>
      <c r="H22" s="7" t="inlineStr">
        <is>
          <t>Pass</t>
        </is>
      </c>
      <c r="I22" s="8" t="inlineStr">
        <is>
          <t>AC3, AC7 · Decision Table (R7) · test_admin_self_and_linked_history_denied_and_audited__AC3_AC6_AC7</t>
        </is>
      </c>
    </row>
    <row r="23" ht="74" customHeight="1">
      <c r="A23" s="7" t="inlineStr">
        <is>
          <t>TC-ADHERENCE-15</t>
        </is>
      </c>
      <c r="B23" s="7" t="inlineStr">
        <is>
          <t>Từ chối admin có liên kết người thân</t>
        </is>
      </c>
      <c r="C23" s="8" t="inlineStr">
        <is>
          <t>P có hai consent và một liều; admin A có caregiver_link active, sharing_enabled=true với P.</t>
        </is>
      </c>
      <c r="D23" s="8" t="inlineStr">
        <is>
          <t>1. Đăng nhập A.
2. Gửi GET /adherence?patient_id=P.
3. Kiểm response, access_logs và dose_logs.</t>
        </is>
      </c>
      <c r="E23" s="8" t="inlineStr">
        <is>
          <t>P; A có system_role=admin</t>
        </is>
      </c>
      <c r="F23" s="8" t="inlineStr">
        <is>
          <t>403 khong_co_quyen; không lộ liều; access_logs denied actor_role=admin; dose_logs không đổi.</t>
        </is>
      </c>
      <c r="G23" s="8" t="inlineStr">
        <is>
          <t>Test tương ứng trong Comments PASSED sau migration; evidence/test-migration.log.</t>
        </is>
      </c>
      <c r="H23" s="7" t="inlineStr">
        <is>
          <t>Pass</t>
        </is>
      </c>
      <c r="I23" s="8" t="inlineStr">
        <is>
          <t>AC3, AC6, AC7 · Decision Table (R7) · test_admin_self_and_linked_history_denied_and_audited__AC3_AC6_AC7</t>
        </is>
      </c>
    </row>
    <row r="24" ht="74" customHeight="1">
      <c r="A24" s="7" t="inlineStr">
        <is>
          <t>TC-ADHERENCE-16</t>
        </is>
      </c>
      <c r="B24" s="7" t="inlineStr">
        <is>
          <t>Kiểm nhóm ngày, nhóm thuốc và tỷ lệ tuân thủ</t>
        </is>
      </c>
      <c r="C24" s="8" t="inlineStr">
        <is>
          <t>P có 5 liều: 3 da_uong, 1 uong_tre, 1 bo_lo.</t>
        </is>
      </c>
      <c r="D24" s="8" t="inlineStr">
        <is>
          <t>1. Gửi GET /adherence?group_by=date&amp;from=2026-10-19&amp;to=2026-10-19.
2. Gửi lại với group_by=medication.
3. So sánh summary và nhóm.</t>
        </is>
      </c>
      <c r="E24" s="8" t="inlineStr">
        <is>
          <t>2026-10-19; 5 liều, 2 thuốc</t>
        </is>
      </c>
      <c r="F24" s="8" t="inlineStr">
        <is>
          <t>200; summary total=5, taken=3, late=1, missed=1, pending=0, adherence_rate=80; nhóm và timezone Asia/Ho_Chi_Minh đúng contract.</t>
        </is>
      </c>
      <c r="G24" s="8" t="inlineStr">
        <is>
          <t>Test tương ứng trong Comments PASSED sau migration; evidence/test-migration.log.</t>
        </is>
      </c>
      <c r="H24" s="7" t="inlineStr">
        <is>
          <t>Pass</t>
        </is>
      </c>
      <c r="I24" s="8" t="inlineStr">
        <is>
          <t>AC1, AC9 · test_patient_history_by_date_medication_groups_and_80_percent__AC1_AC3_AC4</t>
        </is>
      </c>
    </row>
    <row r="25" ht="57.5" customHeight="1">
      <c r="A25" s="7" t="inlineStr">
        <is>
          <t>TC-ADHERENCE-17</t>
        </is>
      </c>
      <c r="B25" s="7" t="inlineStr">
        <is>
          <t>Kiểm khoảng ngày một ngày</t>
        </is>
      </c>
      <c r="C25" s="8" t="inlineStr">
        <is>
          <t>P có lịch dùng thuốc bắt đầu 2026-10-19.</t>
        </is>
      </c>
      <c r="D25" s="8" t="inlineStr">
        <is>
          <t>1. Gửi GET /adherence?from=2026-10-19&amp;to=2026-10-19.
2. Kiểm summary và nhóm.</t>
        </is>
      </c>
      <c r="E25" s="8" t="inlineStr">
        <is>
          <t>from=2026-10-19; to=2026-10-19</t>
        </is>
      </c>
      <c r="F25" s="8" t="inlineStr">
        <is>
          <t>200; khoảng một ngày được chấp nhận và chỉ có liều ngày 2026-10-19.</t>
        </is>
      </c>
      <c r="G25" s="8" t="inlineStr">
        <is>
          <t>Test tương ứng trong Comments PASSED sau migration; evidence/test-migration.log.</t>
        </is>
      </c>
      <c r="H25" s="7" t="inlineStr">
        <is>
          <t>Pass</t>
        </is>
      </c>
      <c r="I25" s="8" t="inlineStr">
        <is>
          <t>AC9 · BVA (min) · test_default_partial_and_inclusive_90_day_filters__AC5</t>
        </is>
      </c>
    </row>
    <row r="26" ht="57.5" customHeight="1">
      <c r="A26" s="7" t="inlineStr">
        <is>
          <t>TC-ADHERENCE-18</t>
        </is>
      </c>
      <c r="B26" s="7" t="inlineStr">
        <is>
          <t>Kiểm khoảng ngày tối đa 90 ngày</t>
        </is>
      </c>
      <c r="C26" s="8" t="inlineStr">
        <is>
          <t>P có lịch từ 2026-07-22 đến 2026-10-19.</t>
        </is>
      </c>
      <c r="D26" s="8" t="inlineStr">
        <is>
          <t>1. Gửi GET /adherence với khoảng đúng 90 ngày.
2. Kiểm số ngày và response.</t>
        </is>
      </c>
      <c r="E26" s="8" t="inlineStr">
        <is>
          <t>from=2026-07-22; to=2026-10-19</t>
        </is>
      </c>
      <c r="F26" s="8" t="inlineStr">
        <is>
          <t>200; khoảng 90 ngày được chấp nhận.</t>
        </is>
      </c>
      <c r="G26" s="8" t="inlineStr">
        <is>
          <t>Test tương ứng trong Comments PASSED sau migration; evidence/test-migration.log.</t>
        </is>
      </c>
      <c r="H26" s="7" t="inlineStr">
        <is>
          <t>Pass</t>
        </is>
      </c>
      <c r="I26" s="8" t="inlineStr">
        <is>
          <t>AC9 · BVA (max) · test_default_partial_and_inclusive_90_day_filters__AC5</t>
        </is>
      </c>
    </row>
    <row r="27" ht="57.5" customHeight="1">
      <c r="A27" s="7" t="inlineStr">
        <is>
          <t>TC-ADHERENCE-19</t>
        </is>
      </c>
      <c r="B27" s="7" t="inlineStr">
        <is>
          <t>Từ chối khoảng ngày 91 ngày</t>
        </is>
      </c>
      <c r="C27" s="8" t="inlineStr">
        <is>
          <t>P có lịch từ 2026-07-21 đến 2026-10-19.</t>
        </is>
      </c>
      <c r="D27" s="8" t="inlineStr">
        <is>
          <t>1. Gửi GET /adherence với khoảng 91 ngày.
2. Kiểm response.</t>
        </is>
      </c>
      <c r="E27" s="8" t="inlineStr">
        <is>
          <t>from=2026-07-21; to=2026-10-19</t>
        </is>
      </c>
      <c r="F27" s="8" t="inlineStr">
        <is>
          <t>422 {"detail":"adherence_range_too_large"}; không có lịch sử.</t>
        </is>
      </c>
      <c r="G27" s="8" t="inlineStr">
        <is>
          <t>Test tương ứng trong Comments PASSED sau migration; evidence/test-migration.log.</t>
        </is>
      </c>
      <c r="H27" s="7" t="inlineStr">
        <is>
          <t>Pass</t>
        </is>
      </c>
      <c r="I27" s="8" t="inlineStr">
        <is>
          <t>AC9 · BVA (max+1) · test_default_partial_and_inclusive_90_day_filters__AC5</t>
        </is>
      </c>
    </row>
    <row r="28" ht="74" customHeight="1">
      <c r="A28" s="7" t="inlineStr">
        <is>
          <t>TC-ADHERENCE-20</t>
        </is>
      </c>
      <c r="B28" s="7" t="inlineStr">
        <is>
          <t>Đối chiếu contract với OpenAPI runtime</t>
        </is>
      </c>
      <c r="C28" s="8" t="inlineStr">
        <is>
          <t>Có api_contract/openapi.json đã duyệt và app FastAPI khởi tạo được.</t>
        </is>
      </c>
      <c r="D28" s="8" t="inlineStr">
        <is>
          <t>1. Sinh OpenAPI từ create_app().openapi().
2. So path GET /adherence, query, auth, status, schema và no-store với contract.</t>
        </is>
      </c>
      <c r="E28" s="8" t="inlineStr">
        <is>
          <t>GET /adherence; patient_id, from, to, group_by</t>
        </is>
      </c>
      <c r="F28" s="8" t="inlineStr">
        <is>
          <t>Path, query, bảo mật, mã lỗi, cấu trúc response và Cache-Control no-store khớp contract.</t>
        </is>
      </c>
      <c r="G28" s="8" t="inlineStr">
        <is>
          <t>Hai test OpenAPI runtime/schema PASSED; evidence/test-openapi-after-migration.log.</t>
        </is>
      </c>
      <c r="H28" s="7" t="inlineStr">
        <is>
          <t>Pass</t>
        </is>
      </c>
      <c r="I28" s="8" t="inlineStr">
        <is>
          <t>AC9 · test_contract_query_security_status_headers · test_response_required_nullable_enums_and_constraints</t>
        </is>
      </c>
    </row>
    <row r="29" ht="57.5" customHeight="1">
      <c r="A29" s="7" t="inlineStr">
        <is>
          <t>TC-ADHERENCE-21</t>
        </is>
      </c>
      <c r="B29" s="7" t="inlineStr">
        <is>
          <t>Từ chối khoảng ngày đảo ngược</t>
        </is>
      </c>
      <c r="C29" s="8" t="inlineStr">
        <is>
          <t>P có token hợp lệ và lịch sử liều.</t>
        </is>
      </c>
      <c r="D29" s="8" t="inlineStr">
        <is>
          <t>1. Gửi GET /adherence?from=2026-10-19&amp;to=2026-10-18 bằng token P.
2. Kiểm response không chứa lịch sử.</t>
        </is>
      </c>
      <c r="E29" s="8" t="inlineStr">
        <is>
          <t>from=2026-10-19; to=2026-10-18</t>
        </is>
      </c>
      <c r="F29" s="8" t="inlineStr">
        <is>
          <t>422; không có lịch sử trong response; Cache-Control=no-store.</t>
        </is>
      </c>
      <c r="G29" s="8" t="inlineStr">
        <is>
          <t>Test tương ứng trong Comments PASSED sau migration; evidence/test-migration.log.</t>
        </is>
      </c>
      <c r="H29" s="7" t="inlineStr">
        <is>
          <t>Pass</t>
        </is>
      </c>
      <c r="I29" s="8" t="inlineStr">
        <is>
          <t>AC9 · BVA (min-1) · test_bad_queries_are_422_without_health_payload__AC14</t>
        </is>
      </c>
    </row>
    <row r="30" ht="123.5" customHeight="1">
      <c r="A30" s="7" t="inlineStr">
        <is>
          <t>TC-ADHERENCE-22</t>
        </is>
      </c>
      <c r="B30" s="7" t="inlineStr">
        <is>
          <t>Kiểm ràng buộc actor identity sau migration</t>
        </is>
      </c>
      <c r="C30" s="8" t="inlineStr">
        <is>
          <t>DB local có migration admin-self; hai user A và B; kết nối api_role.</t>
        </is>
      </c>
      <c r="D30" s="8" t="inlineStr">
        <is>
          <t>1. Lần lượt INSERT access_logs với actor A, patient A hoặc B, vai patient/family/admin/khong_co_quyen, result allowed/denied.
2. Kiểm INSERT thành công hoặc SQLSTATE 23514 theo từng tổ hợp.
3. Rollback từng lần; xác nhận không còn dòng thử.</t>
        </is>
      </c>
      <c r="E30" s="8" t="inlineStr">
        <is>
          <t>16 tổ hợp: self/other × 4 role × allowed/denied</t>
        </is>
      </c>
      <c r="F30" s="8" t="inlineStr">
        <is>
          <t>Self patient allowed/denied và self admin denied được chấp nhận; self admin allowed, self family/no-access và other patient bị chặn. Other family/admin giữ allowed/denied; other no-access chỉ denied. Không lưu dòng sau rollback.</t>
        </is>
      </c>
      <c r="G30" s="8" t="inlineStr">
        <is>
          <t>16 ca matrix PASSED; evidence/test-migration.log.</t>
        </is>
      </c>
      <c r="H30" s="7" t="inlineStr">
        <is>
          <t>Pass</t>
        </is>
      </c>
      <c r="I30" s="8" t="inlineStr">
        <is>
          <t>AC3, AC7 · Decision Table (R7) · test_access_log_actor_identity_matrix__AC3_AC7</t>
        </is>
      </c>
    </row>
    <row r="31" ht="74" customHeight="1">
      <c r="A31" s="7" t="inlineStr">
        <is>
          <t>TC-ADHERENCE-23</t>
        </is>
      </c>
      <c r="B31" s="7" t="inlineStr">
        <is>
          <t>Chặn sửa xóa và truncate audit sau migration</t>
        </is>
      </c>
      <c r="C31" s="8" t="inlineStr">
        <is>
          <t>DB local có migration admin-self và một dòng audit; có kết nối api_role, worker_role và postgres.</t>
        </is>
      </c>
      <c r="D31" s="8" t="inlineStr">
        <is>
          <t>1. Thử UPDATE, DELETE, TRUNCATE access_logs lần lượt bằng từng role.
2. Rollback từng transaction thử.
3. Đọc lại audit bằng kết nối quản trị.</t>
        </is>
      </c>
      <c r="E31" s="8" t="inlineStr">
        <is>
          <t>api_role/worker_role/postgres × UPDATE/DELETE/TRUNCATE = 9 ca</t>
        </is>
      </c>
      <c r="F31" s="8" t="inlineStr">
        <is>
          <t>Role ứng dụng bị từ chối SQLSTATE 42501; postgres bị trigger từ chối P0001; audit không đổi.</t>
        </is>
      </c>
      <c r="G31" s="8" t="inlineStr">
        <is>
          <t>9 ca append-only PASSED; evidence/test-migration.log.</t>
        </is>
      </c>
      <c r="H31" s="7" t="inlineStr">
        <is>
          <t>Pass</t>
        </is>
      </c>
      <c r="I31" s="8" t="inlineStr">
        <is>
          <t>AC7 · CD3 · test_access_logs_remain_append_only_after_actor_identity_migration__AC7</t>
        </is>
      </c>
    </row>
    <row r="32"/>
    <row r="33"/>
    <row r="34">
      <c r="G34" s="12" t="inlineStr">
        <is>
          <t>Pass</t>
        </is>
      </c>
      <c r="H34" s="13">
        <f>COUNTIF(H9:H31,"Pass")</f>
        <v/>
      </c>
    </row>
    <row r="35">
      <c r="G35" s="12" t="inlineStr">
        <is>
          <t>Fail</t>
        </is>
      </c>
      <c r="H35" s="13">
        <f>COUNTIF(H9:H31,"Fail")</f>
        <v/>
      </c>
    </row>
    <row r="36">
      <c r="G36" s="12" t="inlineStr">
        <is>
          <t>Pending</t>
        </is>
      </c>
      <c r="H36" s="13">
        <f>COUNTIF(H9:H31,"Pending")</f>
        <v/>
      </c>
    </row>
    <row r="37">
      <c r="G37" s="12" t="inlineStr">
        <is>
          <t>Total</t>
        </is>
      </c>
      <c r="H37" s="13">
        <f>SUM(H34:H36)</f>
        <v/>
      </c>
    </row>
  </sheetData>
  <autoFilter ref="A8:I31"/>
  <conditionalFormatting sqref="H9:H31">
    <cfRule type="cellIs" priority="1" operator="equal" dxfId="0">
      <formula>"Fail"</formula>
    </cfRule>
  </conditionalFormatting>
  <dataValidations count="1">
    <dataValidation sqref="H9:H31" showDropDown="0" showInputMessage="0" showErrorMessage="0" allowBlank="0" type="list">
      <formula1>"Pass,Fail,Pending"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4" customWidth="1" min="4" max="4"/>
    <col width="24" customWidth="1" min="5" max="5"/>
    <col width="24" customWidth="1" min="6" max="6"/>
    <col width="14" customWidth="1" min="7" max="7"/>
    <col width="40" customWidth="1" min="8" max="8"/>
    <col width="45" customWidth="1" min="9" max="9"/>
  </cols>
  <sheetData>
    <row r="1">
      <c r="A1" s="14" t="inlineStr">
        <is>
          <t>TEST REPORT</t>
        </is>
      </c>
    </row>
    <row r="2">
      <c r="C2" s="15" t="inlineStr">
        <is>
          <t>Ngọc Việt</t>
        </is>
      </c>
      <c r="D2" s="15" t="inlineStr">
        <is>
          <t>Total</t>
        </is>
      </c>
    </row>
    <row r="3">
      <c r="A3" s="15" t="inlineStr">
        <is>
          <t>Executed</t>
        </is>
      </c>
      <c r="B3" s="9" t="inlineStr">
        <is>
          <t>Passed</t>
        </is>
      </c>
      <c r="C3" s="11">
        <f>'Lịch sử tuân thủ'!$H$34</f>
        <v/>
      </c>
      <c r="D3" s="15">
        <f>SUM(C3:C3)</f>
        <v/>
      </c>
    </row>
    <row r="4">
      <c r="A4" s="16" t="n"/>
      <c r="B4" s="9" t="inlineStr">
        <is>
          <t>Failed</t>
        </is>
      </c>
      <c r="C4" s="11">
        <f>'Lịch sử tuân thủ'!$H$35</f>
        <v/>
      </c>
      <c r="D4" s="15">
        <f>SUM(C4:C4)</f>
        <v/>
      </c>
    </row>
    <row r="5">
      <c r="A5" s="17" t="n"/>
      <c r="B5" s="9" t="inlineStr">
        <is>
          <t>(Total) Test executed (Passed + Failed)</t>
        </is>
      </c>
      <c r="C5" s="11">
        <f>C3+C4</f>
        <v/>
      </c>
      <c r="D5" s="15">
        <f>SUM(C5:C5)</f>
        <v/>
      </c>
    </row>
    <row r="6">
      <c r="A6" s="15" t="inlineStr">
        <is>
          <t>Pending</t>
        </is>
      </c>
      <c r="B6" s="10" t="inlineStr"/>
      <c r="C6" s="11">
        <f>'Lịch sử tuân thủ'!$H$36</f>
        <v/>
      </c>
      <c r="D6" s="15">
        <f>SUM(C6:C6)</f>
        <v/>
      </c>
    </row>
    <row r="7">
      <c r="A7" s="15" t="inlineStr">
        <is>
          <t>(Sub-total) Test Planned</t>
        </is>
      </c>
      <c r="B7" s="10" t="inlineStr"/>
      <c r="C7" s="11">
        <f>C5+C6</f>
        <v/>
      </c>
      <c r="D7" s="15">
        <f>SUM(C7:C7)</f>
        <v/>
      </c>
    </row>
    <row r="10">
      <c r="A10" s="5" t="inlineStr">
        <is>
          <t>Function</t>
        </is>
      </c>
      <c r="B10" s="5" t="inlineStr">
        <is>
          <t>Description</t>
        </is>
      </c>
      <c r="C10" s="5" t="inlineStr">
        <is>
          <t>Sheet Name</t>
        </is>
      </c>
      <c r="D10" s="5" t="inlineStr">
        <is>
          <t>% TCs Executed</t>
        </is>
      </c>
      <c r="E10" s="5" t="inlineStr">
        <is>
          <t>% TCs Passed</t>
        </is>
      </c>
      <c r="F10" s="5" t="inlineStr">
        <is>
          <t>% TCs Failed</t>
        </is>
      </c>
      <c r="G10" s="5" t="inlineStr">
        <is>
          <t>Priority</t>
        </is>
      </c>
      <c r="H10" s="5" t="inlineStr">
        <is>
          <t>Remarks</t>
        </is>
      </c>
      <c r="I10" s="5" t="inlineStr">
        <is>
          <t>Done by</t>
        </is>
      </c>
    </row>
    <row r="11" ht="90.5" customHeight="1">
      <c r="A11" s="11" t="inlineStr">
        <is>
          <t>Lịch sử tuân thủ theo consent</t>
        </is>
      </c>
      <c r="B11" s="10" t="inlineStr">
        <is>
          <t>GET /adherence theo quyền bệnh nhân, người thân, consent và audit.</t>
        </is>
      </c>
      <c r="C11" s="11" t="inlineStr">
        <is>
          <t>Lịch sử tuân thủ</t>
        </is>
      </c>
      <c r="D11" s="18">
        <f>IFERROR(('Lịch sử tuân thủ'!$H$37-'Lịch sử tuân thủ'!$H$36)/'Lịch sử tuân thủ'!$H$37,0)</f>
        <v/>
      </c>
      <c r="E11" s="18">
        <f>IFERROR('Lịch sử tuân thủ'!$H$34/'Lịch sử tuân thủ'!$H$37,0)</f>
        <v/>
      </c>
      <c r="F11" s="18">
        <f>IFERROR('Lịch sử tuân thủ'!$H$35/'Lịch sử tuân thủ'!$H$37,0)</f>
        <v/>
      </c>
      <c r="G11" s="11" t="inlineStr">
        <is>
          <t>Critical</t>
        </is>
      </c>
      <c r="H11" s="10" t="inlineStr">
        <is>
          <t>23 Pass sau migration; BUG-ADHERENCE-14 đã qua kiểm thử hồi quy, còn chờ review/PR.</t>
        </is>
      </c>
      <c r="I11" s="11" t="inlineStr">
        <is>
          <t>Ngọc Việt</t>
        </is>
      </c>
    </row>
    <row r="34">
      <c r="A34" s="19" t="inlineStr">
        <is>
          <t>Bug Report</t>
        </is>
      </c>
    </row>
    <row r="35">
      <c r="A35" s="20" t="inlineStr">
        <is>
          <t>Bug ID</t>
        </is>
      </c>
      <c r="B35" s="20" t="inlineStr">
        <is>
          <t>Description</t>
        </is>
      </c>
      <c r="C35" s="20" t="inlineStr">
        <is>
          <t>Steps to Reproduce</t>
        </is>
      </c>
      <c r="D35" s="20" t="inlineStr">
        <is>
          <t>Input Data</t>
        </is>
      </c>
      <c r="E35" s="20" t="inlineStr">
        <is>
          <t>Expected Result</t>
        </is>
      </c>
      <c r="F35" s="20" t="inlineStr">
        <is>
          <t>Actual Result</t>
        </is>
      </c>
      <c r="G35" s="20" t="inlineStr">
        <is>
          <t>Severity</t>
        </is>
      </c>
      <c r="H35" s="20" t="inlineStr">
        <is>
          <t>Name of Tester</t>
        </is>
      </c>
      <c r="I35" s="20" t="inlineStr">
        <is>
          <t>Logs</t>
        </is>
      </c>
    </row>
  </sheetData>
  <mergeCells count="2">
    <mergeCell ref="A1:G1"/>
    <mergeCell ref="A3:A5"/>
  </mergeCells>
  <conditionalFormatting sqref="F11">
    <cfRule type="cellIs" priority="1" operator="greaterThan" dxfId="0">
      <formula>0.2</formula>
    </cfRule>
  </conditionalFormatting>
  <conditionalFormatting sqref="G11">
    <cfRule type="expression" priority="2" dxfId="0">
      <formula>OR(G11="Critical",G11="High")</formula>
    </cfRule>
  </conditionalFormatting>
  <conditionalFormatting sqref="G36">
    <cfRule type="cellIs" priority="3" operator="equal" dxfId="1">
      <formula>"Critical"</formula>
    </cfRule>
    <cfRule type="cellIs" priority="4" operator="equal" dxfId="2">
      <formula>"High"</formula>
    </cfRule>
    <cfRule type="cellIs" priority="5" operator="equal" dxfId="3">
      <formula>"Medium"</formula>
    </cfRule>
  </conditionalFormatting>
  <dataValidations count="2">
    <dataValidation sqref="G11" showDropDown="0" showInputMessage="0" showErrorMessage="0" allowBlank="1" type="list">
      <formula1>"Critical,High,Medium,Low"</formula1>
    </dataValidation>
    <dataValidation sqref="G36" showDropDown="0" showInputMessage="0" showErrorMessage="0" allowBlank="1" type="list">
      <formula1>"Critical,High,Medium,Low"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2026-10-21T12:04:10Z</dcterms:created>
  <dcterms:modified xmlns:dcterms="http://purl.org/dc/terms/" xmlns:xsi="http://www.w3.org/2001/XMLSchema-instance" xsi:type="dcterms:W3CDTF">2026-10-21T12:04:10Z</dcterms:modified>
</cp:coreProperties>
</file>