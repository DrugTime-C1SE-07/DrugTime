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ẩn hóa OCR" sheetId="1" state="visible" r:id="rId1"/>
    <sheet xmlns:r="http://schemas.openxmlformats.org/officeDocument/2006/relationships" name="Index danh mục" sheetId="2" state="visible" r:id="rId2"/>
    <sheet xmlns:r="http://schemas.openxmlformats.org/officeDocument/2006/relationships" name="Report" sheetId="3" state="visible" r:id="rId3"/>
  </sheets>
  <definedNames>
    <definedName name="_xlnm._FilterDatabase" localSheetId="0" hidden="1">'Chuẩn hóa OCR'!$A$8:$I$40</definedName>
    <definedName name="_xlnm._FilterDatabase" localSheetId="1" hidden="1">'Index danh mục'!$A$8:$I$26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8"/>
    </font>
    <font>
      <name val="Times New Roman"/>
      <b val="1"/>
      <sz val="14"/>
    </font>
  </fonts>
  <fills count="5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A8D08D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9" fontId="2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9C0006"/>
      </font>
      <fill>
        <patternFill patternType="solid">
          <bgColor rgb="00FFC7CE"/>
        </patternFill>
      </fill>
    </dxf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FFFFFF"/>
      </font>
      <fill>
        <patternFill patternType="solid">
          <bgColor rgb="00FF0000"/>
        </patternFill>
      </fill>
    </dxf>
    <dxf>
      <font>
        <b val="1"/>
        <color rgb="00000000"/>
      </font>
      <fill>
        <patternFill patternType="solid">
          <bgColor rgb="00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Kết quả theo chức năng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'Report'!$A$11:$A$12</f>
            </numRef>
          </cat>
          <val>
            <numRef>
              <f>'Report'!$D$11:$D$12</f>
            </numRef>
          </val>
        </ser>
        <ser>
          <idx val="1"/>
          <order val="1"/>
          <tx>
            <strRef>
              <f>'Report'!E10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'Report'!$A$11:$A$12</f>
            </numRef>
          </cat>
          <val>
            <numRef>
              <f>'Report'!$E$11:$E$12</f>
            </numRef>
          </val>
        </ser>
        <ser>
          <idx val="2"/>
          <order val="2"/>
          <tx>
            <strRef>
              <f>'Report'!F10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'Report'!$A$11:$A$12</f>
            </numRef>
          </cat>
          <val>
            <numRef>
              <f>'Report'!$F$11:$F$12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'Report'!$B$3:$B$4</f>
            </numRef>
          </cat>
          <val>
            <numRef>
              <f>'Report'!$D$3:$D$4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50" customWidth="1" min="4" max="4"/>
    <col width="32" customWidth="1" min="5" max="5"/>
    <col width="45" customWidth="1" min="6" max="6"/>
    <col width="45" customWidth="1" min="7" max="7"/>
    <col width="12" customWidth="1" min="8" max="8"/>
    <col width="34" customWidth="1" min="9" max="9"/>
    <col width="22" customWidth="1" min="11" max="11"/>
    <col width="34" customWidth="1" min="12" max="12"/>
    <col width="7" customWidth="1" min="13" max="13"/>
    <col width="34" customWidth="1" min="14" max="14"/>
    <col width="7" customWidth="1" min="15" max="15"/>
    <col width="34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Project Name</t>
        </is>
      </c>
      <c r="B1" s="2" t="inlineStr">
        <is>
          <t>DrugTime</t>
        </is>
      </c>
    </row>
    <row r="2">
      <c r="A2" s="1" t="inlineStr">
        <is>
          <t>Module Name</t>
        </is>
      </c>
      <c r="B2" s="2" t="inlineStr">
        <is>
          <t>Chuẩn hóa dòng và gom cụm OCR (OCRNORM)</t>
        </is>
      </c>
    </row>
    <row r="3">
      <c r="A3" s="1" t="inlineStr">
        <is>
          <t>Created By</t>
        </is>
      </c>
      <c r="B3" s="2" t="inlineStr">
        <is>
          <t>phucnguyenngoc</t>
        </is>
      </c>
    </row>
    <row r="4">
      <c r="A4" s="1" t="inlineStr">
        <is>
          <t>Creation Date</t>
        </is>
      </c>
      <c r="B4" s="3" t="n">
        <v>46325</v>
      </c>
    </row>
    <row r="5">
      <c r="A5" s="1" t="inlineStr">
        <is>
          <t>Reviewed By</t>
        </is>
      </c>
      <c r="B5" s="2" t="inlineStr"/>
    </row>
    <row r="6">
      <c r="A6" s="1" t="inlineStr">
        <is>
          <t>Reviewed Date</t>
        </is>
      </c>
      <c r="B6" s="2" t="n"/>
    </row>
    <row r="7">
      <c r="K7" s="4" t="inlineStr">
        <is>
          <t>Equivalence Partitioning</t>
        </is>
      </c>
      <c r="Q7" s="4" t="inlineStr">
        <is>
          <t>Tổng hợp bằng chứng</t>
        </is>
      </c>
    </row>
    <row r="8">
      <c r="A8" s="1" t="inlineStr">
        <is>
          <t>Test Case ID</t>
        </is>
      </c>
      <c r="B8" s="1" t="inlineStr">
        <is>
          <t>Description</t>
        </is>
      </c>
      <c r="C8" s="1" t="inlineStr">
        <is>
          <t>Precondition</t>
        </is>
      </c>
      <c r="D8" s="1" t="inlineStr">
        <is>
          <t>Test Steps</t>
        </is>
      </c>
      <c r="E8" s="1" t="inlineStr">
        <is>
          <t>Test Data</t>
        </is>
      </c>
      <c r="F8" s="1" t="inlineStr">
        <is>
          <t>Expected Result</t>
        </is>
      </c>
      <c r="G8" s="1" t="inlineStr">
        <is>
          <t>Actual Result</t>
        </is>
      </c>
      <c r="H8" s="1" t="inlineStr">
        <is>
          <t>Status</t>
        </is>
      </c>
      <c r="I8" s="1" t="inlineStr">
        <is>
          <t>Comments(if any)</t>
        </is>
      </c>
      <c r="K8" s="5" t="inlineStr">
        <is>
          <t>Field</t>
        </is>
      </c>
      <c r="L8" s="5" t="inlineStr">
        <is>
          <t>Valid</t>
        </is>
      </c>
      <c r="M8" s="5" t="inlineStr">
        <is>
          <t>Num</t>
        </is>
      </c>
      <c r="N8" s="5" t="inlineStr">
        <is>
          <t>Invalid</t>
        </is>
      </c>
      <c r="O8" s="5" t="inlineStr">
        <is>
          <t>Num</t>
        </is>
      </c>
      <c r="Q8" s="6" t="inlineStr">
        <is>
          <t>Rule</t>
        </is>
      </c>
      <c r="R8" s="5" t="inlineStr">
        <is>
          <t>R1</t>
        </is>
      </c>
      <c r="S8" s="5" t="inlineStr">
        <is>
          <t>R2</t>
        </is>
      </c>
      <c r="T8" s="5" t="inlineStr">
        <is>
          <t>R3</t>
        </is>
      </c>
      <c r="U8" s="5" t="inlineStr">
        <is>
          <t>R4</t>
        </is>
      </c>
    </row>
    <row r="9" ht="123.5" customHeight="1">
      <c r="A9" s="7" t="inlineStr">
        <is>
          <t>TC-OCRNORM-01</t>
        </is>
      </c>
      <c r="B9" s="7" t="inlineStr">
        <is>
          <t>Chuẩn hóa tiếng Việt và giữ hai biểu diễn</t>
        </is>
      </c>
      <c r="C9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9" s="8" t="inlineStr">
        <is>
          <t>1. Mở terminal tại backend.
2. Chạy .venv/Scripts/python.exe -m pytest -p no:cacheprovider -vv tests/unit/test_catalog_ocr_normalization.py::test_line_sources_and_clean_key.
3. Đối chiếu assertion với dữ liệu/kết quả dưới đây; lưu output vào evidence.</t>
        </is>
      </c>
      <c r="E9" s="8" t="inlineStr">
        <is>
          <t>THUỐC ĐỎ NFC/NFD, tab, LF/CRLF/CR</t>
        </is>
      </c>
      <c r="F9" s="8" t="inlineStr">
        <is>
          <t>clean=thuốc đỏ, key=thuoc do; idempotent; raw và nguồn dòng không đổi.</t>
        </is>
      </c>
      <c r="G9" s="8" t="inlineStr">
        <is>
          <t>1 invocation đạt toàn bộ assertion trong lượt test 30/10; không skip. evidence/test-refresh-unit.xml</t>
        </is>
      </c>
      <c r="H9" s="7" t="inlineStr">
        <is>
          <t>Pass</t>
        </is>
      </c>
      <c r="I9" s="8" t="inlineStr">
        <is>
          <t>AC1, AC2 · EP (1) · tests/unit/test_catalog_ocr_normalization.py::test_line_sources_and_clean_key</t>
        </is>
      </c>
      <c r="K9" s="9" t="inlineStr">
        <is>
          <t>text/dòng/cụm</t>
        </is>
      </c>
      <c r="L9" s="10" t="inlineStr">
        <is>
          <t>Unicode và nguồn dòng
Tên có chữ số/ký tự nghi ngờ
Grammar strength hợp lệ
Rỗng/nhiễu
Thuần không I/O
Whitelist/eligibility
Cụm/raw có nhãn</t>
        </is>
      </c>
      <c r="M9" s="10" t="inlineStr">
        <is>
          <t>1
2
3
4
5
6
7</t>
        </is>
      </c>
      <c r="N9" s="10" t="inlineStr">
        <is>
          <t>Strength sai/mơ hồ/ngoài grammar
Non-string</t>
        </is>
      </c>
      <c r="O9" s="10" t="inlineStr">
        <is>
          <t>8
9</t>
        </is>
      </c>
      <c r="Q9" s="10" t="inlineStr">
        <is>
          <t>Strength khác nhau?</t>
        </is>
      </c>
      <c r="R9" s="11" t="inlineStr">
        <is>
          <t>No</t>
        </is>
      </c>
      <c r="S9" s="11" t="inlineStr">
        <is>
          <t>Yes</t>
        </is>
      </c>
      <c r="T9" s="11" t="inlineStr">
        <is>
          <t>-</t>
        </is>
      </c>
      <c r="U9" s="11" t="inlineStr">
        <is>
          <t>Yes</t>
        </is>
      </c>
    </row>
    <row r="10" ht="123.5" customHeight="1">
      <c r="A10" s="7" t="inlineStr">
        <is>
          <t>TC-OCRNORM-03</t>
        </is>
      </c>
      <c r="B10" s="7" t="inlineStr">
        <is>
          <t>Giữ số trong tên và ký tự OCR</t>
        </is>
      </c>
      <c r="C10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0" s="8" t="inlineStr">
        <is>
          <t>1. Mở terminal tại backend.
2. Chạy .venv/Scripts/python.exe -m pytest -p no:cacheprovider -vv tests/unit/test_catalog_ocr_normalization.py::test_names_and_confusables.
3. Đối chiếu assertion với dữ liệu/kết quả dưới đây; lưu output vào evidence.</t>
        </is>
      </c>
      <c r="E10" s="8" t="inlineStr">
        <is>
          <t>Vitamin B12; Vitamin D3; O0l1; Metforrnin</t>
        </is>
      </c>
      <c r="F10" s="8" t="inlineStr">
        <is>
          <t>Không sửa ký tự, không tách B12/D3 thành strength.</t>
        </is>
      </c>
      <c r="G10" s="8" t="inlineStr">
        <is>
          <t>7 invocation đạt toàn bộ assertion trong lượt test 30/10; không skip. evidence/test-refresh-unit.xml</t>
        </is>
      </c>
      <c r="H10" s="7" t="inlineStr">
        <is>
          <t>Pass</t>
        </is>
      </c>
      <c r="I10" s="8" t="inlineStr">
        <is>
          <t>AC3 · EP (2) · tests/unit/test_catalog_ocr_normalization.py::test_names_and_confusables</t>
        </is>
      </c>
      <c r="Q10" s="10" t="inlineStr">
        <is>
          <t>Nhóm chưa hiểu?</t>
        </is>
      </c>
      <c r="R10" s="11" t="inlineStr">
        <is>
          <t>No</t>
        </is>
      </c>
      <c r="S10" s="11" t="inlineStr">
        <is>
          <t>No</t>
        </is>
      </c>
      <c r="T10" s="11" t="inlineStr">
        <is>
          <t>Yes</t>
        </is>
      </c>
      <c r="U10" s="11" t="inlineStr">
        <is>
          <t>Yes/No</t>
        </is>
      </c>
    </row>
    <row r="11" ht="123.5" customHeight="1">
      <c r="A11" s="7" t="inlineStr">
        <is>
          <t>TC-OCRNORM-04</t>
        </is>
      </c>
      <c r="B11" s="7" t="inlineStr">
        <is>
          <t>Trích hàm lượng đơn dương</t>
        </is>
      </c>
      <c r="C11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1" s="8" t="inlineStr">
        <is>
          <t>1. Mở terminal tại backend.
2. Chạy .venv/Scripts/python.exe -m pytest -p no:cacheprovider -vv tests/unit/test_catalog_ocr_normalization.py::test_strength_whole_spans.
3. Đối chiếu assertion với dữ liệu/kết quả dưới đây; lưu output vào evidence.</t>
        </is>
      </c>
      <c r="E11" s="8" t="inlineStr">
        <is>
          <t>500MG; 500 mg; 25 mcg</t>
        </is>
      </c>
      <c r="F11" s="8" t="inlineStr">
        <is>
          <t>500 mg hoặc 25 mcg; span/line_id đúng; tên còn thuoc mau.</t>
        </is>
      </c>
      <c r="G11" s="8" t="inlineStr">
        <is>
          <t>10 invocation đạt toàn bộ assertion trong lượt test 30/10; không skip. evidence/test-refresh-unit.xml</t>
        </is>
      </c>
      <c r="H11" s="7" t="inlineStr">
        <is>
          <t>Pass</t>
        </is>
      </c>
      <c r="I11" s="8" t="inlineStr">
        <is>
          <t>AC4, AC5 · EP (3) · tests/unit/test_catalog_ocr_normalization.py::test_strength_whole_spans</t>
        </is>
      </c>
      <c r="Q11" s="6" t="inlineStr">
        <is>
          <t>Action</t>
        </is>
      </c>
      <c r="R11" s="5" t="inlineStr">
        <is>
          <t>R1</t>
        </is>
      </c>
      <c r="S11" s="5" t="inlineStr">
        <is>
          <t>R2</t>
        </is>
      </c>
      <c r="T11" s="5" t="inlineStr">
        <is>
          <t>R3</t>
        </is>
      </c>
      <c r="U11" s="5" t="inlineStr">
        <is>
          <t>R4</t>
        </is>
      </c>
    </row>
    <row r="12" ht="123.5" customHeight="1">
      <c r="A12" s="7" t="inlineStr">
        <is>
          <t>TC-OCRNORM-05</t>
        </is>
      </c>
      <c r="B12" s="7" t="inlineStr">
        <is>
          <t>Chuẩn hóa decimal không đổi đơn vị</t>
        </is>
      </c>
      <c r="C12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2" s="8" t="inlineStr">
        <is>
          <t>1. Mở terminal tại backend.
2. Chạy .venv/Scripts/python.exe -m pytest -p no:cacheprovider -vv tests/unit/test_catalog_ocr_normalization.py::test_strength_whole_spans.
3. Đối chiếu assertion với dữ liệu/kết quả dưới đây; lưu output vào evidence.</t>
        </is>
      </c>
      <c r="E12" s="8" t="inlineStr">
        <is>
          <t>0,5 g; 0.5g; 500.0mg</t>
        </is>
      </c>
      <c r="F12" s="8" t="inlineStr">
        <is>
          <t>0.5 g hoặc 500 mg; không quy đổi g sang mg.</t>
        </is>
      </c>
      <c r="G12" s="8" t="inlineStr">
        <is>
          <t>10 invocation đạt toàn bộ assertion trong lượt test 30/10; không skip. evidence/test-refresh-unit.xml</t>
        </is>
      </c>
      <c r="H12" s="7" t="inlineStr">
        <is>
          <t>Pass</t>
        </is>
      </c>
      <c r="I12" s="8" t="inlineStr">
        <is>
          <t>AC4, AC5 · EP (3) · tests/unit/test_catalog_ocr_normalization.py::test_strength_whole_spans</t>
        </is>
      </c>
      <c r="Q12" s="10" t="inlineStr">
        <is>
          <t>Gắn khi duy nhất một neo</t>
        </is>
      </c>
      <c r="R12" s="11" t="inlineStr">
        <is>
          <t>X</t>
        </is>
      </c>
      <c r="S12" s="11" t="inlineStr"/>
      <c r="T12" s="11" t="inlineStr"/>
      <c r="U12" s="11" t="inlineStr"/>
    </row>
    <row r="13" ht="123.5" customHeight="1">
      <c r="A13" s="7" t="inlineStr">
        <is>
          <t>TC-OCRNORM-06</t>
        </is>
      </c>
      <c r="B13" s="7" t="inlineStr">
        <is>
          <t>Giữ tử mẫu nồng độ</t>
        </is>
      </c>
      <c r="C13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3" s="8" t="inlineStr">
        <is>
          <t>1. Mở terminal tại backend.
2. Chạy .venv/Scripts/python.exe -m pytest -p no:cacheprovider -vv tests/unit/test_catalog_ocr_normalization.py::test_strength_whole_spans.
3. Đối chiếu assertion với dữ liệu/kết quả dưới đây; lưu output vào evidence.</t>
        </is>
      </c>
      <c r="E13" s="8" t="inlineStr">
        <is>
          <t>5mg/ml; 250mg/5ml</t>
        </is>
      </c>
      <c r="F13" s="8" t="inlineStr">
        <is>
          <t>5 mg/ml và 250 mg/5 ml; một occurrence cả biểu thức.</t>
        </is>
      </c>
      <c r="G13" s="8" t="inlineStr">
        <is>
          <t>10 invocation đạt toàn bộ assertion trong lượt test 30/10; không skip. evidence/test-refresh-unit.xml</t>
        </is>
      </c>
      <c r="H13" s="7" t="inlineStr">
        <is>
          <t>Pass</t>
        </is>
      </c>
      <c r="I13" s="8" t="inlineStr">
        <is>
          <t>AC4, AC5 · EP (3) · tests/unit/test_catalog_ocr_normalization.py::test_strength_whole_spans</t>
        </is>
      </c>
      <c r="Q13" s="10" t="inlineStr">
        <is>
          <t>Giữ cụm xung đột</t>
        </is>
      </c>
      <c r="R13" s="11" t="inlineStr"/>
      <c r="S13" s="11" t="inlineStr">
        <is>
          <t>X</t>
        </is>
      </c>
      <c r="T13" s="11" t="inlineStr"/>
      <c r="U13" s="11" t="inlineStr"/>
    </row>
    <row r="14" ht="123.5" customHeight="1">
      <c r="A14" s="7" t="inlineStr">
        <is>
          <t>TC-OCRNORM-07</t>
        </is>
      </c>
      <c r="B14" s="7" t="inlineStr">
        <is>
          <t>Giữ thứ tự phối hợp</t>
        </is>
      </c>
      <c r="C14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4" s="8" t="inlineStr">
        <is>
          <t>1. Mở terminal tại backend.
2. Chạy .venv/Scripts/python.exe -m pytest -p no:cacheprovider -vv tests/unit/test_catalog_ocr_normalization.py::test_strength_whole_spans.
3. Đối chiếu assertion với dữ liệu/kết quả dưới đây; lưu output vào evidence.</t>
        </is>
      </c>
      <c r="E14" s="8" t="inlineStr">
        <is>
          <t>500mg + 65mg</t>
        </is>
      </c>
      <c r="F14" s="8" t="inlineStr">
        <is>
          <t>500 mg + 65 mg; không đếm từng thành phần thành giá trị cạnh tranh.</t>
        </is>
      </c>
      <c r="G14" s="8" t="inlineStr">
        <is>
          <t>10 invocation đạt toàn bộ assertion trong lượt test 30/10; không skip. evidence/test-refresh-unit.xml</t>
        </is>
      </c>
      <c r="H14" s="7" t="inlineStr">
        <is>
          <t>Pass</t>
        </is>
      </c>
      <c r="I14" s="8" t="inlineStr">
        <is>
          <t>AC4, AC5 · EP (3) · tests/unit/test_catalog_ocr_normalization.py::test_strength_whole_spans</t>
        </is>
      </c>
      <c r="Q14" s="10" t="inlineStr">
        <is>
          <t>Giữ unparsed độc lập</t>
        </is>
      </c>
      <c r="R14" s="11" t="inlineStr"/>
      <c r="S14" s="11" t="inlineStr"/>
      <c r="T14" s="11" t="inlineStr">
        <is>
          <t>X</t>
        </is>
      </c>
      <c r="U14" s="11" t="inlineStr"/>
    </row>
    <row r="15" ht="123.5" customHeight="1">
      <c r="A15" s="7" t="inlineStr">
        <is>
          <t>TC-OCRNORM-08</t>
        </is>
      </c>
      <c r="B15" s="7" t="inlineStr">
        <is>
          <t>Giữ biểu thức phần trăm</t>
        </is>
      </c>
      <c r="C15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5" s="8" t="inlineStr">
        <is>
          <t>1. Mở terminal tại backend.
2. Chạy .venv/Scripts/python.exe -m pytest -p no:cacheprovider -vv tests/unit/test_catalog_ocr_normalization.py::test_strength_whole_spans.
3. Đối chiếu assertion với dữ liệu/kết quả dưới đây; lưu output vào evidence.</t>
        </is>
      </c>
      <c r="E15" s="8" t="inlineStr">
        <is>
          <t>0,9%</t>
        </is>
      </c>
      <c r="F15" s="8" t="inlineStr">
        <is>
          <t>0.9 %; giữ nguồn và span.</t>
        </is>
      </c>
      <c r="G15" s="8" t="inlineStr">
        <is>
          <t>10 invocation đạt toàn bộ assertion trong lượt test 30/10; không skip. evidence/test-refresh-unit.xml</t>
        </is>
      </c>
      <c r="H15" s="7" t="inlineStr">
        <is>
          <t>Pass</t>
        </is>
      </c>
      <c r="I15" s="8" t="inlineStr">
        <is>
          <t>AC4, AC5 · EP (3) · tests/unit/test_catalog_ocr_normalization.py::test_strength_whole_spans</t>
        </is>
      </c>
      <c r="Q15" s="10" t="inlineStr">
        <is>
          <t>Giữ mọi giá trị/count</t>
        </is>
      </c>
      <c r="R15" s="11" t="inlineStr"/>
      <c r="S15" s="11" t="inlineStr"/>
      <c r="T15" s="11" t="inlineStr"/>
      <c r="U15" s="11" t="inlineStr">
        <is>
          <t>X</t>
        </is>
      </c>
    </row>
    <row r="16" ht="123.5" customHeight="1">
      <c r="A16" s="7" t="inlineStr">
        <is>
          <t>TC-OCRNORM-09</t>
        </is>
      </c>
      <c r="B16" s="7" t="inlineStr">
        <is>
          <t>Giữ nhóm không dương chưa hiểu</t>
        </is>
      </c>
      <c r="C16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6" s="8" t="inlineStr">
        <is>
          <t>1. Mở terminal tại backend.
2. Chạy .venv/Scripts/python.exe -m pytest -p no:cacheprovider -vv tests/unit/test_catalog_ocr_normalization.py::test_invalid_unsupported_whole_group.
3. Đối chiếu assertion với dữ liệu/kết quả dưới đây; lưu output vào evidence.</t>
        </is>
      </c>
      <c r="E16" s="8" t="inlineStr">
        <is>
          <t>-5mg; 0mg; 0.0mg; +5mg</t>
        </is>
      </c>
      <c r="F16" s="8" t="inlineStr">
        <is>
          <t>Không lấy một nhóm con; unparsed có nguồn, name_key giữ nhóm, không đoán/sửa.</t>
        </is>
      </c>
      <c r="G16" s="8" t="inlineStr">
        <is>
          <t>46 invocation đạt toàn bộ assertion trong lượt test 30/10; không skip. evidence/test-refresh-unit.xml</t>
        </is>
      </c>
      <c r="H16" s="7" t="inlineStr">
        <is>
          <t>Pass</t>
        </is>
      </c>
      <c r="I16" s="8" t="inlineStr">
        <is>
          <t>AC6 · EP (8) · BVA (âm/0/dương: không có upper bound) · tests/unit/test_catalog_ocr_normalization.py::test_invalid_unsupported_whole_group</t>
        </is>
      </c>
    </row>
    <row r="17" ht="123.5" customHeight="1">
      <c r="A17" s="7" t="inlineStr">
        <is>
          <t>TC-OCRNORM-10</t>
        </is>
      </c>
      <c r="B17" s="7" t="inlineStr">
        <is>
          <t>Giữ số OCR sai và dấu phân nhóm</t>
        </is>
      </c>
      <c r="C17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7" s="8" t="inlineStr">
        <is>
          <t>1. Mở terminal tại backend.
2. Chạy .venv/Scripts/python.exe -m pytest -p no:cacheprovider -vv tests/unit/test_catalog_ocr_normalization.py::test_invalid_unsupported_whole_group.
3. Đối chiếu assertion với dữ liệu/kết quả dưới đây; lưu output vào evidence.</t>
        </is>
      </c>
      <c r="E17" s="8" t="inlineStr">
        <is>
          <t>5OOmg; 1e3mg; 1,000 mg; 5.5.5mg</t>
        </is>
      </c>
      <c r="F17" s="8" t="inlineStr">
        <is>
          <t>Không lấy một nhóm con; unparsed có nguồn, name_key giữ nhóm, không đoán/sửa.</t>
        </is>
      </c>
      <c r="G17" s="8" t="inlineStr">
        <is>
          <t>46 invocation đạt toàn bộ assertion trong lượt test 30/10; không skip. evidence/test-refresh-unit.xml</t>
        </is>
      </c>
      <c r="H17" s="7" t="inlineStr">
        <is>
          <t>Pass</t>
        </is>
      </c>
      <c r="I17" s="8" t="inlineStr">
        <is>
          <t>AC6 · EP (8) · BVA (âm/0/dương: không có upper bound) · tests/unit/test_catalog_ocr_normalization.py::test_invalid_unsupported_whole_group</t>
        </is>
      </c>
    </row>
    <row r="18" ht="123.5" customHeight="1">
      <c r="A18" s="7" t="inlineStr">
        <is>
          <t>TC-OCRNORM-11</t>
        </is>
      </c>
      <c r="B18" s="7" t="inlineStr">
        <is>
          <t>Giữ toàn biểu thức liên kết hỏng</t>
        </is>
      </c>
      <c r="C18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8" s="8" t="inlineStr">
        <is>
          <t>1. Mở terminal tại backend.
2. Chạy .venv/Scripts/python.exe -m pytest -p no:cacheprovider -vv tests/unit/test_catalog_ocr_normalization.py::test_invalid_unsupported_whole_group.
3. Đối chiếu assertion với dữ liệu/kết quả dưới đây; lưu output vào evidence.</t>
        </is>
      </c>
      <c r="E18" s="8" t="inlineStr">
        <is>
          <t>500mg + 5OOmg; 250mg/0ml; 250mg/</t>
        </is>
      </c>
      <c r="F18" s="8" t="inlineStr">
        <is>
          <t>Không lấy một nhóm con; unparsed có nguồn, name_key giữ nhóm, không đoán/sửa.</t>
        </is>
      </c>
      <c r="G18" s="8" t="inlineStr">
        <is>
          <t>46 invocation đạt toàn bộ assertion trong lượt test 30/10; không skip. evidence/test-refresh-unit.xml</t>
        </is>
      </c>
      <c r="H18" s="7" t="inlineStr">
        <is>
          <t>Pass</t>
        </is>
      </c>
      <c r="I18" s="8" t="inlineStr">
        <is>
          <t>AC6 · EP (8) · BVA (âm/0/dương: không có upper bound) · tests/unit/test_catalog_ocr_normalization.py::test_invalid_unsupported_whole_group</t>
        </is>
      </c>
    </row>
    <row r="19" ht="123.5" customHeight="1">
      <c r="A19" s="7" t="inlineStr">
        <is>
          <t>TC-OCRNORM-12</t>
        </is>
      </c>
      <c r="B19" s="7" t="inlineStr">
        <is>
          <t>Giữ đơn vị ngoài grammar</t>
        </is>
      </c>
      <c r="C19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9" s="8" t="inlineStr">
        <is>
          <t>1. Mở terminal tại backend.
2. Chạy .venv/Scripts/python.exe -m pytest -p no:cacheprovider -vv tests/unit/test_catalog_ocr_normalization.py::test_invalid_unsupported_whole_group.
3. Đối chiếu assertion với dữ liệu/kết quả dưới đây; lưu output vào evidence.</t>
        </is>
      </c>
      <c r="E19" s="8" t="inlineStr">
        <is>
          <t>50 IU; 25µg; 5kg; 5 g/ml</t>
        </is>
      </c>
      <c r="F19" s="8" t="inlineStr">
        <is>
          <t>Không lấy một nhóm con; unparsed có nguồn, name_key giữ nhóm, không đoán/sửa.</t>
        </is>
      </c>
      <c r="G19" s="8" t="inlineStr">
        <is>
          <t>46 invocation đạt toàn bộ assertion trong lượt test 30/10; không skip. evidence/test-refresh-unit.xml</t>
        </is>
      </c>
      <c r="H19" s="7" t="inlineStr">
        <is>
          <t>Pass</t>
        </is>
      </c>
      <c r="I19" s="8" t="inlineStr">
        <is>
          <t>AC6 · EP (8) · BVA (âm/0/dương: không có upper bound) · tests/unit/test_catalog_ocr_normalization.py::test_invalid_unsupported_whole_group</t>
        </is>
      </c>
    </row>
    <row r="20" ht="123.5" customHeight="1">
      <c r="A20" s="7" t="inlineStr">
        <is>
          <t>TC-OCRNORM-17</t>
        </is>
      </c>
      <c r="B20" s="7" t="inlineStr">
        <is>
          <t>Giữ cấu trúc rỗng và không query</t>
        </is>
      </c>
      <c r="C20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0" s="8" t="inlineStr">
        <is>
          <t>1. Mở terminal tại backend.
2. Chạy .venv/Scripts/python.exe -m pytest -p no:cacheprovider -vv tests/unit/test_catalog_ocr_normalization.py::test_empty_and_noise_no_query.
3. Đối chiếu assertion với dữ liệu/kết quả dưới đây; lưu output vào evidence.</t>
        </is>
      </c>
      <c r="E20" s="8" t="inlineStr">
        <is>
          <t>(blank); whitespace; ®™•; newline; 5mg; hop 10 vi</t>
        </is>
      </c>
      <c r="F20" s="8" t="inlineStr">
        <is>
          <t>Không line/cụm eligible; raw rỗng trả tuple rỗng; newline giữ hai dòng.</t>
        </is>
      </c>
      <c r="G20" s="8" t="inlineStr">
        <is>
          <t>6 invocation đạt toàn bộ assertion trong lượt test 30/10; không skip. evidence/test-refresh-unit.xml</t>
        </is>
      </c>
      <c r="H20" s="7" t="inlineStr">
        <is>
          <t>Pass</t>
        </is>
      </c>
      <c r="I20" s="8" t="inlineStr">
        <is>
          <t>AC15 · EP (4) · tests/unit/test_catalog_ocr_normalization.py::test_empty_and_noise_no_query</t>
        </is>
      </c>
    </row>
    <row r="21" ht="123.5" customHeight="1">
      <c r="A21" s="7" t="inlineStr">
        <is>
          <t>TC-OCRNORM-18</t>
        </is>
      </c>
      <c r="B21" s="7" t="inlineStr">
        <is>
          <t>Từ chối non-string không echo</t>
        </is>
      </c>
      <c r="C21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1" s="8" t="inlineStr">
        <is>
          <t>1. Mở terminal tại backend.
2. Chạy .venv/Scripts/python.exe -m pytest -p no:cacheprovider -vv tests/unit/test_catalog_ocr_normalization.py::test_non_string_rejected_without_echo.
3. Đối chiếu assertion với dữ liệu/kết quả dưới đây; lưu output vào evidence.</t>
        </is>
      </c>
      <c r="E21" s="8" t="inlineStr">
        <is>
          <t>None; 123; bytes/list private-marker</t>
        </is>
      </c>
      <c r="F21" s="8" t="inlineStr">
        <is>
          <t>TypeError: OCR text must be a string; không lộ marker.</t>
        </is>
      </c>
      <c r="G21" s="8" t="inlineStr">
        <is>
          <t>4 invocation đạt toàn bộ assertion trong lượt test 30/10; không skip. evidence/test-refresh-unit.xml</t>
        </is>
      </c>
      <c r="H21" s="7" t="inlineStr">
        <is>
          <t>Pass</t>
        </is>
      </c>
      <c r="I21" s="8" t="inlineStr">
        <is>
          <t>AC15 · EP (9) · tests/unit/test_catalog_ocr_normalization.py::test_non_string_rejected_without_echo</t>
        </is>
      </c>
    </row>
    <row r="22" ht="123.5" customHeight="1">
      <c r="A22" s="7" t="inlineStr">
        <is>
          <t>TC-OCRNORM-19</t>
        </is>
      </c>
      <c r="B22" s="7" t="inlineStr">
        <is>
          <t>Giữ normalizer thuần và không log</t>
        </is>
      </c>
      <c r="C22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2" s="8" t="inlineStr">
        <is>
          <t>1. Mở terminal tại backend.
2. Chạy .venv/Scripts/python.exe -m pytest -p no:cacheprovider -vv tests/unit/test_catalog_ocr_normalization.py::test_no_ocr_io_log_or_writes.
3. Đối chiếu assertion với dữ liệu/kết quả dưới đây; lưu output vào evidence.</t>
        </is>
      </c>
      <c r="E22" s="8" t="inlineStr">
        <is>
          <t>synthetic-private-marker 500mg lặp hai dòng</t>
        </is>
      </c>
      <c r="F22" s="8" t="inlineStr">
        <is>
          <t>Không open/socket/log; count2; không xuất marker.</t>
        </is>
      </c>
      <c r="G22" s="8" t="inlineStr">
        <is>
          <t>1 invocation đạt toàn bộ assertion trong lượt test 30/10; không skip. evidence/test-refresh-unit.xml</t>
        </is>
      </c>
      <c r="H22" s="7" t="inlineStr">
        <is>
          <t>Pass</t>
        </is>
      </c>
      <c r="I22" s="8" t="inlineStr">
        <is>
          <t>AC21 · EP (5) · tests/unit/test_catalog_ocr_normalization.py::test_no_ocr_io_log_or_writes</t>
        </is>
      </c>
    </row>
    <row r="23" ht="123.5" customHeight="1">
      <c r="A23" s="7" t="inlineStr">
        <is>
          <t>TC-OCRNORM-21</t>
        </is>
      </c>
      <c r="B23" s="7" t="inlineStr">
        <is>
          <t>Giữ tên thật không có strength</t>
        </is>
      </c>
      <c r="C23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3" s="8" t="inlineStr">
        <is>
          <t>1. Mở terminal tại backend.
2. Chạy .venv/Scripts/python.exe -m pytest -p no:cacheprovider -vv tests/unit/test_catalog_ocr_normalization.py::test_names_and_confusables.
3. Đối chiếu assertion với dữ liệu/kết quả dưới đây; lưu output vào evidence.</t>
        </is>
      </c>
      <c r="E23" s="8" t="inlineStr">
        <is>
          <t>Vitamin B12; Long; Log; Ong; O0l1</t>
        </is>
      </c>
      <c r="F23" s="8" t="inlineStr">
        <is>
          <t>Tên/ký tự giữ nguyên theo key; không tạo strength đoán.</t>
        </is>
      </c>
      <c r="G23" s="8" t="inlineStr">
        <is>
          <t>7 invocation đạt toàn bộ assertion trong lượt test 30/10; không skip. evidence/test-refresh-unit.xml</t>
        </is>
      </c>
      <c r="H23" s="7" t="inlineStr">
        <is>
          <t>Pass</t>
        </is>
      </c>
      <c r="I23" s="8" t="inlineStr">
        <is>
          <t>AC3 · EP (2) · tests/unit/test_catalog_ocr_normalization.py::test_names_and_confusables</t>
        </is>
      </c>
    </row>
    <row r="24" ht="123.5" customHeight="1">
      <c r="A24" s="7" t="inlineStr">
        <is>
          <t>TC-OCRNORM-22</t>
        </is>
      </c>
      <c r="B24" s="7" t="inlineStr">
        <is>
          <t>Giữ mọi dòng và khoảng nguồn</t>
        </is>
      </c>
      <c r="C24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4" s="8" t="inlineStr">
        <is>
          <t>1. Mở terminal tại backend.
2. Chạy .venv/Scripts/python.exe -m pytest -p no:cacheprovider -vv tests/unit/test_catalog_ocr_normalization.py::test_line_sources_and_clean_key.
3. Đối chiếu assertion với dữ liệu/kết quả dưới đây; lưu output vào evidence.</t>
        </is>
      </c>
      <c r="E24" s="8" t="inlineStr">
        <is>
          <t>THUỐC ĐỎ CRLF, dòng trống, hai Metformin CR/LF, trống cuối</t>
        </is>
      </c>
      <c r="F24" s="8" t="inlineStr">
        <is>
          <t>Năm line_id theo thứ tự; ghép raw+line_ending tái tạo nguyên input; offset chính xác.</t>
        </is>
      </c>
      <c r="G24" s="8" t="inlineStr">
        <is>
          <t>1 invocation đạt toàn bộ assertion trong lượt test 30/10; không skip. evidence/test-refresh-unit.xml</t>
        </is>
      </c>
      <c r="H24" s="7" t="inlineStr">
        <is>
          <t>Pass</t>
        </is>
      </c>
      <c r="I24" s="8" t="inlineStr">
        <is>
          <t>AC1, AC2 · EP (1) · tests/unit/test_catalog_ocr_normalization.py::test_line_sources_and_clean_key</t>
        </is>
      </c>
    </row>
    <row r="25" ht="156.5" customHeight="1">
      <c r="A25" s="7" t="inlineStr">
        <is>
          <t>TC-OCRNORM-23</t>
        </is>
      </c>
      <c r="B25" s="7" t="inlineStr">
        <is>
          <t>Lọc whitelist sau khi trích</t>
        </is>
      </c>
      <c r="C25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5" s="8" t="inlineStr">
        <is>
          <t>1. Mở terminal tại backend.
2. Chạy .venv/Scripts/python.exe -m pytest -p no:cacheprovider -vv tests/unit/test_catalog_ocr_normalization.py::test_whitelist_and_eligibility tests/unit/test_catalog_ocr_normalization.py::test_partial_registration_patterns_are_not_removed.
3. Đối chiếu assertion với dữ liệu/kết quả dưới đây; lưu output vào evidence.</t>
        </is>
      </c>
      <c r="E25" s="8" t="inlineStr">
        <is>
          <t>Metformin 500mg viên nén hộp 10 vỉ; SDK: VD-13882-11; Vienna Sirolex VD-X</t>
        </is>
      </c>
      <c r="F25" s="8" t="inlineStr">
        <is>
          <t>metformin eligible; 500mg đã trích; dòng SDK rỗng không query; tên giống noise được bảo vệ.</t>
        </is>
      </c>
      <c r="G25" s="8" t="inlineStr">
        <is>
          <t>17 invocation đạt toàn bộ assertion trong lượt test 30/10; không skip. evidence/test-refresh-unit.xml</t>
        </is>
      </c>
      <c r="H25" s="7" t="inlineStr">
        <is>
          <t>Pass</t>
        </is>
      </c>
      <c r="I25" s="8" t="inlineStr">
        <is>
          <t>AC7, AC8 · EP (6) · tests/unit/test_catalog_ocr_normalization.py::test_whitelist_and_eligibility; tests/unit/test_catalog_ocr_normalization.py::test_partial_registration_patterns_are_not_removed</t>
        </is>
      </c>
    </row>
    <row r="26" ht="123.5" customHeight="1">
      <c r="A26" s="7" t="inlineStr">
        <is>
          <t>TC-OCRNORM-24</t>
        </is>
      </c>
      <c r="B26" s="7" t="inlineStr">
        <is>
          <t>Giữ mảnh ngắn với reason</t>
        </is>
      </c>
      <c r="C26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6" s="8" t="inlineStr">
        <is>
          <t>1. Mở terminal tại backend.
2. Chạy .venv/Scripts/python.exe -m pytest -p no:cacheprovider -vv tests/unit/test_catalog_ocr_normalization.py::test_whitelist_and_eligibility.
3. Đối chiếu assertion với dữ liệu/kết quả dưới đây; lưu output vào evidence.</t>
        </is>
      </c>
      <c r="E26" s="8" t="inlineStr">
        <is>
          <t>Met.; Metform.; B12; D3; 5mg; Vitamin D3 5mg</t>
        </is>
      </c>
      <c r="F26" s="8" t="inlineStr">
        <is>
          <t>Mảnh thiếu context không query; không mở rộng; Vitamin D3 query với số tên còn nguyên.</t>
        </is>
      </c>
      <c r="G26" s="8" t="inlineStr">
        <is>
          <t>13 invocation đạt toàn bộ assertion trong lượt test 30/10; không skip. evidence/test-refresh-unit.xml</t>
        </is>
      </c>
      <c r="H26" s="7" t="inlineStr">
        <is>
          <t>Pass</t>
        </is>
      </c>
      <c r="I26" s="8" t="inlineStr">
        <is>
          <t>AC3, AC8 · EP (6) · tests/unit/test_catalog_ocr_normalization.py::test_whitelist_and_eligibility</t>
        </is>
      </c>
    </row>
    <row r="27" ht="123.5" customHeight="1">
      <c r="A27" s="7" t="inlineStr">
        <is>
          <t>TC-OCRNORM-25</t>
        </is>
      </c>
      <c r="B27" s="7" t="inlineStr">
        <is>
          <t>Giữ nhóm hợp lệ độc lập cạnh nhóm sai</t>
        </is>
      </c>
      <c r="C27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7" s="8" t="inlineStr">
        <is>
          <t>1. Mở terminal tại backend.
2. Chạy .venv/Scripts/python.exe -m pytest -p no:cacheprovider -vv tests/unit/test_catalog_ocr_normalization.py::test_valid_and_corrupted_groups_remain_separate.
3. Đối chiếu assertion với dữ liệu/kết quả dưới đây; lưu output vào evidence.</t>
        </is>
      </c>
      <c r="E27" s="8" t="inlineStr">
        <is>
          <t>500mg O.5g; l0 mg 500mg; 5OOmg</t>
        </is>
      </c>
      <c r="F27" s="8" t="inlineStr">
        <is>
          <t>Giữ 500mg hợp lệ nếu độc lập, unparsed riêng và name_key còn nhóm sai; không tính phiếu cho đoán.</t>
        </is>
      </c>
      <c r="G27" s="8" t="inlineStr">
        <is>
          <t>15 invocation đạt toàn bộ assertion trong lượt test 30/10; không skip. evidence/test-refresh-unit.xml</t>
        </is>
      </c>
      <c r="H27" s="7" t="inlineStr">
        <is>
          <t>Pass</t>
        </is>
      </c>
      <c r="I27" s="8" t="inlineStr">
        <is>
          <t>AC6, AC14 · EP (8) · Decision Table (R3) · tests/unit/test_catalog_ocr_normalization.py::test_valid_and_corrupted_groups_remain_separate</t>
        </is>
      </c>
    </row>
    <row r="28" ht="123.5" customHeight="1">
      <c r="A28" s="7" t="inlineStr">
        <is>
          <t>TC-OCRNORM-26</t>
        </is>
      </c>
      <c r="B28" s="7" t="inlineStr">
        <is>
          <t>Giữ count và đại diện theo hỗ trợ</t>
        </is>
      </c>
      <c r="C28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8" s="8" t="inlineStr">
        <is>
          <t>1. Mở terminal tại backend.
2. Chạy .venv/Scripts/python.exe -m pytest -p no:cacheprovider -vv tests/unit/test_catalog_ocr_clusters.py::test_exact_repeats_counts_order_and_representative.
3. Đối chiếu assertion với dữ liệu/kết quả dưới đây; lưu output vào evidence.</t>
        </is>
      </c>
      <c r="E28" s="8" t="inlineStr">
        <is>
          <t>Metformin; METFORMIN; Metformin bydrock.; Aspirin</t>
        </is>
      </c>
      <c r="F28" s="8" t="inlineStr">
        <is>
          <t>Production có count2 cho metformin; thử T0.65 thì đại diện metformin vẫn thắng dòng dài, count3.</t>
        </is>
      </c>
      <c r="G28" s="8" t="inlineStr">
        <is>
          <t>1 invocation đạt toàn bộ assertion trong lượt test 30/10; không skip. evidence/test-refresh-unit.xml</t>
        </is>
      </c>
      <c r="H28" s="7" t="inlineStr">
        <is>
          <t>Pass</t>
        </is>
      </c>
      <c r="I28" s="8" t="inlineStr">
        <is>
          <t>AC9, AC11 · EP (7) · tests/unit/test_catalog_ocr_clusters.py::test_exact_repeats_counts_order_and_representative</t>
        </is>
      </c>
    </row>
    <row r="29" ht="123.5" customHeight="1">
      <c r="A29" s="7" t="inlineStr">
        <is>
          <t>TC-OCRNORM-27</t>
        </is>
      </c>
      <c r="B29" s="7" t="inlineStr">
        <is>
          <t>Kiểm biên ratio có tính bằng</t>
        </is>
      </c>
      <c r="C29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9" s="8" t="inlineStr">
        <is>
          <t>1. Mở terminal tại backend.
2. Chạy .venv/Scripts/python.exe -m pytest -p no:cacheprovider -vv tests/unit/test_catalog_ocr_clusters.py::test_ratio_cutoff_below_equal_above.
3. Đối chiếu assertion với dữ liệu/kết quả dưới đây; lưu output vào evidence.</t>
        </is>
      </c>
      <c r="E29" s="8" t="inlineStr">
        <is>
          <t>abcdefghij / abcdefgxij; ratio=0.9; T=0.899/0.900/0.901</t>
        </is>
      </c>
      <c r="F29" s="8" t="inlineStr">
        <is>
          <t>Gom ở T dưới/bằng ratio, giữ riêng khi T trên; không nhầm ngưỡng với confidence thuốc.</t>
        </is>
      </c>
      <c r="G29" s="8" t="inlineStr">
        <is>
          <t>3 invocation đạt toàn bộ assertion trong lượt test 30/10; không skip. evidence/test-refresh-unit.xml</t>
        </is>
      </c>
      <c r="H29" s="7" t="inlineStr">
        <is>
          <t>Pass</t>
        </is>
      </c>
      <c r="I29" s="8" t="inlineStr">
        <is>
          <t>AC10 · BVA (dưới/bằng/trên ngưỡng ratio) · tests/unit/test_catalog_ocr_clusters.py::test_ratio_cutoff_below_equal_above</t>
        </is>
      </c>
    </row>
    <row r="30" ht="123.5" customHeight="1">
      <c r="A30" s="7" t="inlineStr">
        <is>
          <t>TC-OCRNORM-28</t>
        </is>
      </c>
      <c r="B30" s="7" t="inlineStr">
        <is>
          <t>Chặn nối cụm qua cầu trung gian</t>
        </is>
      </c>
      <c r="C30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30" s="8" t="inlineStr">
        <is>
          <t>1. Mở terminal tại backend.
2. Chạy .venv/Scripts/python.exe -m pytest -p no:cacheprovider -vv tests/unit/test_catalog_ocr_clusters.py::test_complete_link_cannot_chain.
3. Đối chiếu assertion với dữ liệu/kết quả dưới đây; lưu output vào evidence.</t>
        </is>
      </c>
      <c r="E30" s="8" t="inlineStr">
        <is>
          <t>aaaaaaaaaa / aaaaaaaabb / aaaaaabbbb, T0.8</t>
        </is>
      </c>
      <c r="F30" s="8" t="inlineStr">
        <is>
          <t>Cụm (1,2) và (3); B-C không kéo A-C vào cùng cụm.</t>
        </is>
      </c>
      <c r="G30" s="8" t="inlineStr">
        <is>
          <t>1 invocation đạt toàn bộ assertion trong lượt test 30/10; không skip. evidence/test-refresh-unit.xml</t>
        </is>
      </c>
      <c r="H30" s="7" t="inlineStr">
        <is>
          <t>Pass</t>
        </is>
      </c>
      <c r="I30" s="8" t="inlineStr">
        <is>
          <t>AC10 · EP (7) · tests/unit/test_catalog_ocr_clusters.py::test_complete_link_cannot_chain</t>
        </is>
      </c>
    </row>
    <row r="31" ht="123.5" customHeight="1">
      <c r="A31" s="7" t="inlineStr">
        <is>
          <t>TC-OCRNORM-29</t>
        </is>
      </c>
      <c r="B31" s="7" t="inlineStr">
        <is>
          <t>Chặn dòng thiếu strength nối hai cụm xung đột</t>
        </is>
      </c>
      <c r="C31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31" s="8" t="inlineStr">
        <is>
          <t>1. Mở terminal tại backend.
2. Chạy .venv/Scripts/python.exe -m pytest -p no:cacheprovider -vv tests/unit/test_catalog_ocr_clusters.py::test_missing_strength_never_bridges_conflict.
3. Đối chiếu assertion với dữ liệu/kết quả dưới đây; lưu output vào evidence.</t>
        </is>
      </c>
      <c r="E31" s="8" t="inlineStr">
        <is>
          <t>Candesartan Krka16mg / 160mg / thiếu strength; sáu hoán vị</t>
        </is>
      </c>
      <c r="F31" s="8" t="inlineStr">
        <is>
          <t>Luôn ba singleton, sum count3; không gộp 16 với160.</t>
        </is>
      </c>
      <c r="G31" s="8" t="inlineStr">
        <is>
          <t>6 invocation đạt toàn bộ assertion trong lượt test 30/10; không skip. evidence/test-refresh-unit.xml</t>
        </is>
      </c>
      <c r="H31" s="7" t="inlineStr">
        <is>
          <t>Pass</t>
        </is>
      </c>
      <c r="I31" s="8" t="inlineStr">
        <is>
          <t>AC10 · Decision Table (R2) · tests/unit/test_catalog_ocr_clusters.py::test_missing_strength_never_bridges_conflict</t>
        </is>
      </c>
    </row>
    <row r="32" ht="123.5" customHeight="1">
      <c r="A32" s="7" t="inlineStr">
        <is>
          <t>TC-OCRNORM-30</t>
        </is>
      </c>
      <c r="B32" s="7" t="inlineStr">
        <is>
          <t>Gắn dòng thiếu strength khi chỉ có một neo</t>
        </is>
      </c>
      <c r="C32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32" s="8" t="inlineStr">
        <is>
          <t>1. Mở terminal tại backend.
2. Chạy .venv/Scripts/python.exe -m pytest -p no:cacheprovider -vv tests/unit/test_catalog_ocr_clusters.py::test_unique_missing_strength_attachment_and_unknown_vote.
3. Đối chiếu assertion với dữ liệu/kết quả dưới đây; lưu output vào evidence.</t>
        </is>
      </c>
      <c r="E32" s="8" t="inlineStr">
        <is>
          <t>Metformin500mg / Metformin / Metformin5OOmg / 500mg</t>
        </is>
      </c>
      <c r="F32" s="8" t="inlineStr">
        <is>
          <t>Dòng1,2 chung cụm; strength500 count1 ở cụm; dòng strength-only ở document, không ghép tên.</t>
        </is>
      </c>
      <c r="G32" s="8" t="inlineStr">
        <is>
          <t>1 invocation đạt toàn bộ assertion trong lượt test 30/10; không skip. evidence/test-refresh-unit.xml</t>
        </is>
      </c>
      <c r="H32" s="7" t="inlineStr">
        <is>
          <t>Pass</t>
        </is>
      </c>
      <c r="I32" s="8" t="inlineStr">
        <is>
          <t>AC10, AC12, AC14 · Decision Table (R1) · tests/unit/test_catalog_ocr_clusters.py::test_unique_missing_strength_attachment_and_unknown_vote</t>
        </is>
      </c>
    </row>
    <row r="33" ht="123.5" customHeight="1">
      <c r="A33" s="7" t="inlineStr">
        <is>
          <t>TC-OCRNORM-31</t>
        </is>
      </c>
      <c r="B33" s="7" t="inlineStr">
        <is>
          <t>Chặn substring và chữ số khác nhau</t>
        </is>
      </c>
      <c r="C33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33" s="8" t="inlineStr">
        <is>
          <t>1. Mở terminal tại backend.
2. Chạy .venv/Scripts/python.exe -m pytest -p no:cacheprovider -vv tests/unit/test_catalog_ocr_clusters.py::test_digits_substring_suffix_and_unanchored_fragments_stay_separate.
3. Đối chiếu assertion với dữ liệu/kết quả dưới đây; lưu output vào evidence.</t>
        </is>
      </c>
      <c r="E33" s="8" t="inlineStr">
        <is>
          <t>Vitamin B12/D3; Candesartan16/160; formin/Metformin; Met./Metformin</t>
        </is>
      </c>
      <c r="F33" s="8" t="inlineStr">
        <is>
          <t>Mỗi cặp giữ riêng, không mở rộng mảnh hoặc suy tên.</t>
        </is>
      </c>
      <c r="G33" s="8" t="inlineStr">
        <is>
          <t>5 invocation đạt toàn bộ assertion trong lượt test 30/10; không skip. evidence/test-refresh-unit.xml</t>
        </is>
      </c>
      <c r="H33" s="7" t="inlineStr">
        <is>
          <t>Pass</t>
        </is>
      </c>
      <c r="I33" s="8" t="inlineStr">
        <is>
          <t>AC8, AC10 · EP (7) · tests/unit/test_catalog_ocr_clusters.py::test_digits_substring_suffix_and_unanchored_fragments_stay_separate</t>
        </is>
      </c>
    </row>
    <row r="34" ht="123.5" customHeight="1">
      <c r="A34" s="7" t="inlineStr">
        <is>
          <t>TC-OCRNORM-32</t>
        </is>
      </c>
      <c r="B34" s="7" t="inlineStr">
        <is>
          <t>Kiểm prefix có neo và biên 65%</t>
        </is>
      </c>
      <c r="C34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34" s="8" t="inlineStr">
        <is>
          <t>1. Mở terminal tại backend.
2. Chạy .venv/Scripts/python.exe -m pytest -p no:cacheprovider -vv tests/unit/test_catalog_ocr_clusters.py::test_fragment_prefix_guard_and_full_anchor.
3. Đối chiếu assertion với dữ liệu/kết quả dưới đây; lưu output vào evidence.</t>
        </is>
      </c>
      <c r="E34" s="8" t="inlineStr">
        <is>
          <t>Metform./Metformin; prefix13/20,12/20; suffix13/20</t>
        </is>
      </c>
      <c r="F34" s="8" t="inlineStr">
        <is>
          <t>Metform. nhập với neo; 13/20 đủ65%, 12/20 không đủ; suffix không nhập dù dài.</t>
        </is>
      </c>
      <c r="G34" s="8" t="inlineStr">
        <is>
          <t>1 invocation đạt toàn bộ assertion trong lượt test 30/10; không skip. evidence/test-refresh-unit.xml</t>
        </is>
      </c>
      <c r="H34" s="7" t="inlineStr">
        <is>
          <t>Pass</t>
        </is>
      </c>
      <c r="I34" s="8" t="inlineStr">
        <is>
          <t>AC8, AC10 · BVA (12/20 dưới,13/20 bằng65%; vẫn phải có neo và đạt ratio) · tests/unit/test_catalog_ocr_clusters.py::test_fragment_prefix_guard_and_full_anchor</t>
        </is>
      </c>
    </row>
    <row r="35" ht="123.5" customHeight="1">
      <c r="A35" s="7" t="inlineStr">
        <is>
          <t>TC-OCRNORM-33</t>
        </is>
      </c>
      <c r="B35" s="7" t="inlineStr">
        <is>
          <t>Giữ cụm nhỏ và không nhân thành viên</t>
        </is>
      </c>
      <c r="C35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35" s="8" t="inlineStr">
        <is>
          <t>1. Mở terminal tại backend.
2. Chạy .venv/Scripts/python.exe -m pytest -p no:cacheprovider -vv tests/unit/test_catalog_ocr_clusters.py::test_every_line_at_most_once_small_clusters_retained.
3. Đối chiếu assertion với dữ liệu/kết quả dưới đây; lưu output vào evidence.</t>
        </is>
      </c>
      <c r="E35" s="8" t="inlineStr">
        <is>
          <t>Metformin/Metformim/Metformin/Aspirin/B12/500mg/trống</t>
        </is>
      </c>
      <c r="F35" s="8" t="inlineStr">
        <is>
          <t>Mỗi dòng tên tối đa một cụm; giữ cụm không query; sort count giảm ổn định.</t>
        </is>
      </c>
      <c r="G35" s="8" t="inlineStr">
        <is>
          <t>1 invocation đạt toàn bộ assertion trong lượt test 30/10; không skip. evidence/test-refresh-unit.xml</t>
        </is>
      </c>
      <c r="H35" s="7" t="inlineStr">
        <is>
          <t>Pass</t>
        </is>
      </c>
      <c r="I35" s="8" t="inlineStr">
        <is>
          <t>AC9, AC11 · EP (7) · tests/unit/test_catalog_ocr_clusters.py::test_every_line_at_most_once_small_clusters_retained</t>
        </is>
      </c>
    </row>
    <row r="36" ht="123.5" customHeight="1">
      <c r="A36" s="7" t="inlineStr">
        <is>
          <t>TC-OCRNORM-34</t>
        </is>
      </c>
      <c r="B36" s="7" t="inlineStr">
        <is>
          <t>Giữ thiểu số, hòa và occurrence lặp</t>
        </is>
      </c>
      <c r="C36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36" s="8" t="inlineStr">
        <is>
          <t>1. Mở terminal tại backend.
2. Chạy .venv/Scripts/python.exe -m pytest -p no:cacheprovider -vv tests/unit/test_catalog_ocr_normalization.py::test_evidence_retains_minority_unknown_and_repeated_occurrences.
3. Đối chiếu assertion với dữ liệu/kết quả dưới đây; lưu output vào evidence.</t>
        </is>
      </c>
      <c r="E36" s="8" t="inlineStr">
        <is>
          <t>4 dòng500mg,1 dòng850mg,1 dòng500mg500.0mg,1 dòng5OOmg; hòa500/850</t>
        </is>
      </c>
      <c r="F36" s="8" t="inlineStr">
        <is>
          <t>500 count5 nhưng6 occurrence; 850 count1; conflict/unparsed độc lập; hòa giữ hai giá trị; không winner.</t>
        </is>
      </c>
      <c r="G36" s="8" t="inlineStr">
        <is>
          <t>1 invocation đạt toàn bộ assertion trong lượt test 30/10; không skip. evidence/test-refresh-unit.xml</t>
        </is>
      </c>
      <c r="H36" s="7" t="inlineStr">
        <is>
          <t>Pass</t>
        </is>
      </c>
      <c r="I36" s="8" t="inlineStr">
        <is>
          <t>AC12, AC13, AC14 · Decision Table (R4) · tests/unit/test_catalog_ocr_normalization.py::test_evidence_retains_minority_unknown_and_repeated_occurrences</t>
        </is>
      </c>
    </row>
    <row r="37" ht="123.5" customHeight="1">
      <c r="A37" s="7" t="inlineStr">
        <is>
          <t>TC-OCRNORM-35</t>
        </is>
      </c>
      <c r="B37" s="7" t="inlineStr">
        <is>
          <t>Giữ nhiều giá trị trong cùng dòng</t>
        </is>
      </c>
      <c r="C37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37" s="8" t="inlineStr">
        <is>
          <t>1. Mở terminal tại backend.
2. Chạy .venv/Scripts/python.exe -m pytest -p no:cacheprovider -vv tests/unit/test_catalog_ocr_clusters.py::test_equal_name_different_signatures_and_ambiguous_line.
3. Đối chiếu assertion với dữ liệu/kết quả dưới đây; lưu output vào evidence.</t>
        </is>
      </c>
      <c r="E37" s="8" t="inlineStr">
        <is>
          <t>Metformin500mg / Metformin500mg850mg / Metformin850mg</t>
        </is>
      </c>
      <c r="F37" s="8" t="inlineStr">
        <is>
          <t>Ba signature/cụm riêng; có has_conflict và has_ambiguous_line.</t>
        </is>
      </c>
      <c r="G37" s="8" t="inlineStr">
        <is>
          <t>1 invocation đạt toàn bộ assertion trong lượt test 30/10; không skip. evidence/test-refresh-unit.xml</t>
        </is>
      </c>
      <c r="H37" s="7" t="inlineStr">
        <is>
          <t>Pass</t>
        </is>
      </c>
      <c r="I37" s="8" t="inlineStr">
        <is>
          <t>AC6, AC10, AC14 · EP (8) · tests/unit/test_catalog_ocr_clusters.py::test_equal_name_different_signatures_and_ambiguous_line</t>
        </is>
      </c>
    </row>
    <row r="38" ht="123.5" customHeight="1">
      <c r="A38" s="7" t="inlineStr">
        <is>
          <t>TC-OCRNORM-36</t>
        </is>
      </c>
      <c r="B38" s="7" t="inlineStr">
        <is>
          <t>Đếm phối hợp theo toàn biểu thức</t>
        </is>
      </c>
      <c r="C38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38" s="8" t="inlineStr">
        <is>
          <t>1. Mở terminal tại backend.
2. Chạy .venv/Scripts/python.exe -m pytest -p no:cacheprovider -vv tests/unit/test_catalog_ocr_normalization.py::test_combination_is_one_vote_with_ordered_parts_and_uncertain_tail.
3. Đối chiếu assertion với dữ liệu/kết quả dưới đây; lưu output vào evidence.</t>
        </is>
      </c>
      <c r="E38" s="8" t="inlineStr">
        <is>
          <t>500mg+65mg / 65mg+500mg / 500mg+5OOmg</t>
        </is>
      </c>
      <c r="F38" s="8" t="inlineStr">
        <is>
          <t>Giữ thứ tự parts; hai canonical khác nhau; nhóm hỏng không thành phiếu.</t>
        </is>
      </c>
      <c r="G38" s="8" t="inlineStr">
        <is>
          <t>1 invocation đạt toàn bộ assertion trong lượt test 30/10; không skip. evidence/test-refresh-unit.xml</t>
        </is>
      </c>
      <c r="H38" s="7" t="inlineStr">
        <is>
          <t>Pass</t>
        </is>
      </c>
      <c r="I38" s="8" t="inlineStr">
        <is>
          <t>AC5, AC12, AC14 · EP (3) · tests/unit/test_catalog_ocr_normalization.py::test_combination_is_one_vote_with_ordered_parts_and_uncertain_tail</t>
        </is>
      </c>
    </row>
    <row r="39" ht="173" customHeight="1">
      <c r="A39" s="7" t="inlineStr">
        <is>
          <t>TC-OCRNORM-37</t>
        </is>
      </c>
      <c r="B39" s="7" t="inlineStr">
        <is>
          <t>Chạy regression raw thật có nhãn</t>
        </is>
      </c>
      <c r="C39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39" s="8" t="inlineStr">
        <is>
          <t>1. Mở terminal tại backend.
2. Chạy .venv/Scripts/python.exe -m pytest -p no:cacheprovider -vv tests/unit/test_catalog_ocr_clusters.py::test_labelled_real_raw_regression tests/unit/test_catalog_ocr_clusters.py::test_calibrated_threshold_and_provenance_are_fixed tests/unit/test_catalog_ocr_clusters.py::test_synthetic_labelled_fixture.
3. Đối chiếu assertion với dữ liệu/kết quả dưới đây; lưu output vào evidence.</t>
        </is>
      </c>
      <c r="E39" s="8" t="inlineStr">
        <is>
          <t>Bốn cặp raw từ hai run, source SHA/line IDs trong fixture</t>
        </is>
      </c>
      <c r="F39" s="8" t="inlineStr">
        <is>
          <t>Đúng bốn nhãn owner_confirmed; T0.86 cố định; không gọi tập nhỏ là accuracy ngoài tập.</t>
        </is>
      </c>
      <c r="G39" s="8" t="inlineStr">
        <is>
          <t>6 invocation đạt toàn bộ assertion trong lượt test 30/10; không skip. evidence/test-refresh-unit.xml</t>
        </is>
      </c>
      <c r="H39" s="7" t="inlineStr">
        <is>
          <t>Pass</t>
        </is>
      </c>
      <c r="I39" s="8" t="inlineStr">
        <is>
          <t>AC23 · EP (7) · tests/unit/test_catalog_ocr_clusters.py::test_labelled_real_raw_regression; tests/unit/test_catalog_ocr_clusters.py::test_calibrated_threshold_and_provenance_are_fixed; tests/unit/test_catalog_ocr_clusters.py::test_synthetic_labelled_fixture</t>
        </is>
      </c>
    </row>
    <row r="40" ht="107" customHeight="1">
      <c r="A40" s="7" t="inlineStr">
        <is>
          <t>TC-OCRNORM-38</t>
        </is>
      </c>
      <c r="B40" s="7" t="inlineStr">
        <is>
          <t>Từ chối threshold ngoài miền</t>
        </is>
      </c>
      <c r="C40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40" s="8" t="inlineStr">
        <is>
          <t>1. Mở terminal tại backend.
2. Chạy .venv/Scripts/python.exe -m pytest -p no:cacheprovider -vv tests/unit/test_catalog_ocr_clusters.py::test_invalid_threshold.
3. Đối chiếu assertion với dữ liệu/kết quả dưới đây; lưu output vào evidence.</t>
        </is>
      </c>
      <c r="E40" s="8" t="inlineStr">
        <is>
          <t>T=-0.1 và1.1</t>
        </is>
      </c>
      <c r="F40" s="8" t="inlineStr">
        <is>
          <t>ValueError; không âm thầm clamp ngưỡng.</t>
        </is>
      </c>
      <c r="G40" s="8" t="inlineStr">
        <is>
          <t>2 invocation đạt toàn bộ assertion trong lượt test 30/10; không skip. evidence/test-refresh-unit.xml</t>
        </is>
      </c>
      <c r="H40" s="7" t="inlineStr">
        <is>
          <t>Pass</t>
        </is>
      </c>
      <c r="I40" s="8" t="inlineStr">
        <is>
          <t>AC10 · BVA (ngoài0..1) · tests/unit/test_catalog_ocr_clusters.py::test_invalid_threshold</t>
        </is>
      </c>
    </row>
    <row r="41"/>
    <row r="42"/>
    <row r="43">
      <c r="G43" s="12" t="inlineStr">
        <is>
          <t>Pass</t>
        </is>
      </c>
      <c r="H43" s="13">
        <f>COUNTIF(H9:H40,"Pass")</f>
        <v/>
      </c>
    </row>
    <row r="44">
      <c r="G44" s="12" t="inlineStr">
        <is>
          <t>Fail</t>
        </is>
      </c>
      <c r="H44" s="13">
        <f>COUNTIF(H9:H40,"Fail")</f>
        <v/>
      </c>
    </row>
    <row r="45">
      <c r="G45" s="12" t="inlineStr">
        <is>
          <t>Pending</t>
        </is>
      </c>
      <c r="H45" s="13">
        <f>COUNTIF(H9:H40,"Pending")</f>
        <v/>
      </c>
    </row>
    <row r="46">
      <c r="G46" s="12" t="inlineStr">
        <is>
          <t>Total</t>
        </is>
      </c>
      <c r="H46" s="13">
        <f>SUM(H43:H45)</f>
        <v/>
      </c>
    </row>
  </sheetData>
  <autoFilter ref="A8:I40"/>
  <conditionalFormatting sqref="H9:H40">
    <cfRule type="cellIs" priority="1" operator="equal" dxfId="0">
      <formula>"Fail"</formula>
    </cfRule>
  </conditionalFormatting>
  <dataValidations count="1">
    <dataValidation sqref="H9:H40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50" customWidth="1" min="4" max="4"/>
    <col width="32" customWidth="1" min="5" max="5"/>
    <col width="45" customWidth="1" min="6" max="6"/>
    <col width="45" customWidth="1" min="7" max="7"/>
    <col width="12" customWidth="1" min="8" max="8"/>
    <col width="34" customWidth="1" min="9" max="9"/>
    <col width="22" customWidth="1" min="11" max="11"/>
    <col width="34" customWidth="1" min="12" max="12"/>
    <col width="7" customWidth="1" min="13" max="13"/>
    <col width="34" customWidth="1" min="14" max="14"/>
    <col width="7" customWidth="1" min="15" max="15"/>
    <col width="34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Project Name</t>
        </is>
      </c>
      <c r="B1" s="2" t="inlineStr">
        <is>
          <t>DrugTime</t>
        </is>
      </c>
    </row>
    <row r="2">
      <c r="A2" s="1" t="inlineStr">
        <is>
          <t>Module Name</t>
        </is>
      </c>
      <c r="B2" s="2" t="inlineStr">
        <is>
          <t>Tra cứu catalog bằng index DB (CATINDEX)</t>
        </is>
      </c>
    </row>
    <row r="3">
      <c r="A3" s="1" t="inlineStr">
        <is>
          <t>Created By</t>
        </is>
      </c>
      <c r="B3" s="2" t="inlineStr">
        <is>
          <t>phucnguyenngoc</t>
        </is>
      </c>
    </row>
    <row r="4">
      <c r="A4" s="1" t="inlineStr">
        <is>
          <t>Creation Date</t>
        </is>
      </c>
      <c r="B4" s="3" t="n">
        <v>46325</v>
      </c>
    </row>
    <row r="5">
      <c r="A5" s="1" t="inlineStr">
        <is>
          <t>Reviewed By</t>
        </is>
      </c>
      <c r="B5" s="2" t="inlineStr"/>
    </row>
    <row r="6">
      <c r="A6" s="1" t="inlineStr">
        <is>
          <t>Reviewed Date</t>
        </is>
      </c>
      <c r="B6" s="2" t="n"/>
    </row>
    <row r="7">
      <c r="K7" s="4" t="inlineStr">
        <is>
          <t>Equivalence Partitioning</t>
        </is>
      </c>
      <c r="Q7" s="4" t="inlineStr">
        <is>
          <t>Lookup</t>
        </is>
      </c>
    </row>
    <row r="8">
      <c r="A8" s="1" t="inlineStr">
        <is>
          <t>Test Case ID</t>
        </is>
      </c>
      <c r="B8" s="1" t="inlineStr">
        <is>
          <t>Description</t>
        </is>
      </c>
      <c r="C8" s="1" t="inlineStr">
        <is>
          <t>Precondition</t>
        </is>
      </c>
      <c r="D8" s="1" t="inlineStr">
        <is>
          <t>Test Steps</t>
        </is>
      </c>
      <c r="E8" s="1" t="inlineStr">
        <is>
          <t>Test Data</t>
        </is>
      </c>
      <c r="F8" s="1" t="inlineStr">
        <is>
          <t>Expected Result</t>
        </is>
      </c>
      <c r="G8" s="1" t="inlineStr">
        <is>
          <t>Actual Result</t>
        </is>
      </c>
      <c r="H8" s="1" t="inlineStr">
        <is>
          <t>Status</t>
        </is>
      </c>
      <c r="I8" s="1" t="inlineStr">
        <is>
          <t>Comments(if any)</t>
        </is>
      </c>
      <c r="K8" s="5" t="inlineStr">
        <is>
          <t>Field</t>
        </is>
      </c>
      <c r="L8" s="5" t="inlineStr">
        <is>
          <t>Valid</t>
        </is>
      </c>
      <c r="M8" s="5" t="inlineStr">
        <is>
          <t>Num</t>
        </is>
      </c>
      <c r="N8" s="5" t="inlineStr">
        <is>
          <t>Invalid</t>
        </is>
      </c>
      <c r="O8" s="5" t="inlineStr">
        <is>
          <t>Num</t>
        </is>
      </c>
      <c r="Q8" s="6" t="inlineStr">
        <is>
          <t>Rule</t>
        </is>
      </c>
      <c r="R8" s="5" t="inlineStr">
        <is>
          <t>R1</t>
        </is>
      </c>
      <c r="S8" s="5" t="inlineStr">
        <is>
          <t>R2</t>
        </is>
      </c>
      <c r="T8" s="5" t="inlineStr">
        <is>
          <t>R3</t>
        </is>
      </c>
      <c r="U8" s="5" t="inlineStr">
        <is>
          <t>R4</t>
        </is>
      </c>
    </row>
    <row r="9" ht="156.5" customHeight="1">
      <c r="A9" s="7" t="inlineStr">
        <is>
          <t>TC-CATINDEX-07</t>
        </is>
      </c>
      <c r="B9" s="7" t="inlineStr">
        <is>
          <t>Truyền lỗi từng nhánh và iterator</t>
        </is>
      </c>
      <c r="C9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9" s="8" t="inlineStr">
        <is>
          <t>1. Mở terminal tại backend.
2. Chạy .venv/Scripts/python.exe -m pytest -p no:cacheprovider -vv tests/unit/test_catalog_index.py::test_any_branch_error_propagates_without_partial_or_fallback tests/unit/test_catalog_index.py::test_sql_iterator_error_is_not_swallowed.
3. Đối chiếu assertion với dữ liệu/kết quả dưới đây; lưu output vào evidence.</t>
        </is>
      </c>
      <c r="E9" s="8" t="inlineStr">
        <is>
          <t>Reader lỗi ở name/raw_active_ingredient/alias; iterator lỗi sau hit</t>
        </is>
      </c>
      <c r="F9" s="8" t="inlineStr">
        <is>
          <t>Exception truyền lên toàn lượt, không partial/rỗng/cache.</t>
        </is>
      </c>
      <c r="G9" s="8" t="inlineStr">
        <is>
          <t>4 invocation đạt toàn bộ assertion trong lượt test 30/10; không skip. evidence/test-refresh-unit.xml</t>
        </is>
      </c>
      <c r="H9" s="7" t="inlineStr">
        <is>
          <t>Pass</t>
        </is>
      </c>
      <c r="I9" s="8" t="inlineStr">
        <is>
          <t>AC19 · Decision Table (R3) · tests/unit/test_catalog_index.py::test_any_branch_error_propagates_without_partial_or_fallback; tests/unit/test_catalog_index.py::test_sql_iterator_error_is_not_swallowed</t>
        </is>
      </c>
      <c r="K9" s="9" t="inlineStr">
        <is>
          <t>query/catalog</t>
        </is>
      </c>
      <c r="L9" s="10" t="inlineStr">
        <is>
          <t>Facade/read-only/hồi quy
Catalog có link/index/budget
Literal đặc biệt
Không eligible</t>
        </is>
      </c>
      <c r="M9" s="10" t="inlineStr">
        <is>
          <t>1
2
3
4</t>
        </is>
      </c>
      <c r="N9" s="10" t="inlineStr"/>
      <c r="O9" s="10" t="inlineStr"/>
      <c r="Q9" s="10" t="inlineStr">
        <is>
          <t>Dữ liệu đã commit?</t>
        </is>
      </c>
      <c r="R9" s="11" t="inlineStr">
        <is>
          <t>Yes</t>
        </is>
      </c>
      <c r="S9" s="11" t="inlineStr">
        <is>
          <t>Yes</t>
        </is>
      </c>
      <c r="T9" s="11" t="inlineStr">
        <is>
          <t>-</t>
        </is>
      </c>
      <c r="U9" s="11" t="inlineStr">
        <is>
          <t>Yes</t>
        </is>
      </c>
    </row>
    <row r="10" ht="123.5" customHeight="1">
      <c r="A10" s="7" t="inlineStr">
        <is>
          <t>TC-CATINDEX-08</t>
        </is>
      </c>
      <c r="B10" s="7" t="inlineStr">
        <is>
          <t>Dùng cùng facade cho hai caller</t>
        </is>
      </c>
      <c r="C10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0" s="8" t="inlineStr">
        <is>
          <t>1. Mở terminal tại backend.
2. Chạy .venv/Scripts/python.exe -m pytest -p no:cacheprovider -vv tests/unit/test_catalog_index.py::test_two_facade_callers_fresh_uow_no_snapshot.
3. Đối chiếu assertion với dữ liệu/kết quả dưới đây; lưu output vào evidence.</t>
        </is>
      </c>
      <c r="E10" s="8" t="inlineStr">
        <is>
          <t>Hai UoW mô phỏng4.13/4.15, reader thay dữ liệu giữa lượt</t>
        </is>
      </c>
      <c r="F10" s="8" t="inlineStr">
        <is>
          <t>Cùng normalized DTO/quy tắc, kết quả mới theo lượt; không snapshot xuyên request.</t>
        </is>
      </c>
      <c r="G10" s="8" t="inlineStr">
        <is>
          <t>1 invocation đạt toàn bộ assertion trong lượt test 30/10; không skip. evidence/test-refresh-unit.xml</t>
        </is>
      </c>
      <c r="H10" s="7" t="inlineStr">
        <is>
          <t>Pass</t>
        </is>
      </c>
      <c r="I10" s="8" t="inlineStr">
        <is>
          <t>AC22, AC19 · EP (1) · tests/unit/test_catalog_index.py::test_two_facade_callers_fresh_uow_no_snapshot</t>
        </is>
      </c>
      <c r="Q10" s="10" t="inlineStr">
        <is>
          <t>Lỗi đọc?</t>
        </is>
      </c>
      <c r="R10" s="11" t="inlineStr">
        <is>
          <t>No</t>
        </is>
      </c>
      <c r="S10" s="11" t="inlineStr">
        <is>
          <t>No</t>
        </is>
      </c>
      <c r="T10" s="11" t="inlineStr">
        <is>
          <t>Yes</t>
        </is>
      </c>
      <c r="U10" s="11" t="inlineStr">
        <is>
          <t>No</t>
        </is>
      </c>
    </row>
    <row r="11" ht="123.5" customHeight="1">
      <c r="A11" s="7" t="inlineStr">
        <is>
          <t>TC-CATINDEX-09</t>
        </is>
      </c>
      <c r="B11" s="7" t="inlineStr">
        <is>
          <t>Giữ lookup không ghi và không builder</t>
        </is>
      </c>
      <c r="C11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1" s="8" t="inlineStr">
        <is>
          <t>1. Mở terminal tại backend.
2. Chạy .venv/Scripts/python.exe -m pytest -p no:cacheprovider -vv tests/unit/test_catalog_index.py::test_lookup_never_calls_writers_or_catalog_builder.
3. Đối chiếu assertion với dữ liệu/kết quả dưới đây; lưu output vào evidence.</t>
        </is>
      </c>
      <c r="E11" s="8" t="inlineStr">
        <is>
          <t>Synthetic marker, guard các writer/loader/builder</t>
        </is>
      </c>
      <c r="F11" s="8" t="inlineStr">
        <is>
          <t>Không log/lưu/ghi; không gọi đường index Python toàn catalog.</t>
        </is>
      </c>
      <c r="G11" s="8" t="inlineStr">
        <is>
          <t>1 invocation đạt toàn bộ assertion trong lượt test 30/10; không skip. evidence/test-refresh-unit.xml</t>
        </is>
      </c>
      <c r="H11" s="7" t="inlineStr">
        <is>
          <t>Pass</t>
        </is>
      </c>
      <c r="I11" s="8" t="inlineStr">
        <is>
          <t>AC21 · EP (1) · tests/unit/test_catalog_index.py::test_lookup_never_calls_writers_or_catalog_builder</t>
        </is>
      </c>
      <c r="Q11" s="6" t="inlineStr">
        <is>
          <t>Action</t>
        </is>
      </c>
      <c r="R11" s="5" t="inlineStr">
        <is>
          <t>R1</t>
        </is>
      </c>
      <c r="S11" s="5" t="inlineStr">
        <is>
          <t>R2</t>
        </is>
      </c>
      <c r="T11" s="5" t="inlineStr">
        <is>
          <t>R3</t>
        </is>
      </c>
      <c r="U11" s="5" t="inlineStr">
        <is>
          <t>R4</t>
        </is>
      </c>
    </row>
    <row r="12" ht="123.5" customHeight="1">
      <c r="A12" s="7" t="inlineStr">
        <is>
          <t>TC-CATINDEX-12</t>
        </is>
      </c>
      <c r="B12" s="7" t="inlineStr">
        <is>
          <t>Thấy commit thuốc ở giao dịch kế tiếp</t>
        </is>
      </c>
      <c r="C12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2" s="8" t="inlineStr">
        <is>
          <t>1. Mở terminal tại backend.
2. Chạy .venv/Scripts/python.exe -m pytest -p no:cacheprovider -vv tests/integration/test_catalog_index.py::test_medication_commits_visible_and_old_result_immutable__AC19.
3. Đối chiếu assertion với dữ liệu/kết quả dưới đây; lưu output vào evidence.</t>
        </is>
      </c>
      <c r="E12" s="8" t="inlineStr">
        <is>
          <t>Thêm thuốc, sửa raw/strength/form, soft-delete/restore</t>
        </is>
      </c>
      <c r="F12" s="8" t="inlineStr">
        <is>
          <t>UoW mới thấy mọi thay đổi ngay; object cũ không đổi/frozen.</t>
        </is>
      </c>
      <c r="G12" s="8" t="inlineStr">
        <is>
          <t>1 invocation đạt toàn bộ assertion trong lượt test 30/10; không skip. evidence/test-refresh-integration.xml</t>
        </is>
      </c>
      <c r="H12" s="7" t="inlineStr">
        <is>
          <t>Pass</t>
        </is>
      </c>
      <c r="I12" s="8" t="inlineStr">
        <is>
          <t>AC19 · Decision Table (R1) · tests/integration/test_catalog_index.py::test_medication_commits_visible_and_old_result_immutable__AC19</t>
        </is>
      </c>
      <c r="Q12" s="10" t="inlineStr">
        <is>
          <t>Thấy thay đổi ở lượt mới</t>
        </is>
      </c>
      <c r="R12" s="11" t="inlineStr">
        <is>
          <t>X</t>
        </is>
      </c>
      <c r="S12" s="11" t="inlineStr"/>
      <c r="T12" s="11" t="inlineStr"/>
      <c r="U12" s="11" t="inlineStr"/>
    </row>
    <row r="13" ht="123.5" customHeight="1">
      <c r="A13" s="7" t="inlineStr">
        <is>
          <t>TC-CATINDEX-14</t>
        </is>
      </c>
      <c r="B13" s="7" t="inlineStr">
        <is>
          <t>Truyền lỗi DB thật sau từng nhánh</t>
        </is>
      </c>
      <c r="C13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3" s="8" t="inlineStr">
        <is>
          <t>1. Mở terminal tại backend.
2. Chạy .venv/Scripts/python.exe -m pytest -p no:cacheprovider -vv tests/integration/test_catalog_index.py::test_each_read_branch_failure_raises_without_partial_or_stale__AC19.
3. Đối chiếu assertion với dữ liệu/kết quả dưới đây; lưu output vào evidence.</t>
        </is>
      </c>
      <c r="E13" s="8" t="inlineStr">
        <is>
          <t>Ngắt đúng PID connection riêng trước nhánh0/1/2 sau lượt thành công</t>
        </is>
      </c>
      <c r="F13" s="8" t="inlineStr">
        <is>
          <t>DBAPIError ở từng vị trí; không trả kết quả một phần hoặc snapshot cũ.</t>
        </is>
      </c>
      <c r="G13" s="8" t="inlineStr">
        <is>
          <t>3 invocation đạt toàn bộ assertion trong lượt test 30/10; không skip. evidence/test-refresh-integration.xml</t>
        </is>
      </c>
      <c r="H13" s="7" t="inlineStr">
        <is>
          <t>Pass</t>
        </is>
      </c>
      <c r="I13" s="8" t="inlineStr">
        <is>
          <t>AC19 · Decision Table (R3) · tests/integration/test_catalog_index.py::test_each_read_branch_failure_raises_without_partial_or_stale__AC19</t>
        </is>
      </c>
      <c r="Q13" s="10" t="inlineStr">
        <is>
          <t>Giữ link/nguồn chính xác</t>
        </is>
      </c>
      <c r="R13" s="11" t="inlineStr"/>
      <c r="S13" s="11" t="inlineStr">
        <is>
          <t>X</t>
        </is>
      </c>
      <c r="T13" s="11" t="inlineStr"/>
      <c r="U13" s="11" t="inlineStr"/>
    </row>
    <row r="14" ht="107" customHeight="1">
      <c r="A14" s="7" t="inlineStr">
        <is>
          <t>TC-CATINDEX-15</t>
        </is>
      </c>
      <c r="B14" s="7" t="inlineStr">
        <is>
          <t>Giữ ingest Unicode và ranh giới module</t>
        </is>
      </c>
      <c r="C14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4" s="8" t="inlineStr">
        <is>
          <t>1. Mở terminal tại backend.
2. Chạy .venv/Scripts/python.exe -m pytest -p no:cacheprovider -vv tests/unit/test_catalog_sync.py tests/architecture.
3. Đối chiếu assertion với dữ liệu/kết quả dưới đây; lưu output vào evidence.</t>
        </is>
      </c>
      <c r="E14" s="8" t="inlineStr">
        <is>
          <t>DAV source NFC/còn dấu/hoa thường; toàn architecture suite</t>
        </is>
      </c>
      <c r="F14" s="8" t="inlineStr">
        <is>
          <t>Ingest regression và architecture pass, không import sai hoặc đổi source hiển thị.</t>
        </is>
      </c>
      <c r="G14" s="8" t="inlineStr">
        <is>
          <t>18 invocation đạt toàn bộ assertion trong lượt test 30/10; không skip. evidence/test-refresh-unit.xml</t>
        </is>
      </c>
      <c r="H14" s="7" t="inlineStr">
        <is>
          <t>Pass</t>
        </is>
      </c>
      <c r="I14" s="8" t="inlineStr">
        <is>
          <t>AC20 · EP (1) · tests/unit/test_catalog_sync.py; tests/architecture</t>
        </is>
      </c>
      <c r="Q14" s="10" t="inlineStr">
        <is>
          <t>Truyền lỗi không partial</t>
        </is>
      </c>
      <c r="R14" s="11" t="inlineStr"/>
      <c r="S14" s="11" t="inlineStr"/>
      <c r="T14" s="11" t="inlineStr">
        <is>
          <t>X</t>
        </is>
      </c>
      <c r="U14" s="11" t="inlineStr"/>
    </row>
    <row r="15" ht="107" customHeight="1">
      <c r="A15" s="7" t="inlineStr">
        <is>
          <t>TC-CATINDEX-16</t>
        </is>
      </c>
      <c r="B15" s="7" t="inlineStr">
        <is>
          <t>Giữ hai route search cũ</t>
        </is>
      </c>
      <c r="C15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5" s="8" t="inlineStr">
        <is>
          <t>1. Mở terminal tại backend.
2. Chạy .venv/Scripts/python.exe -m pytest -p no:cacheprovider -vv tests/integration/test_catalog_search.py.
3. Đối chiếu assertion với dữ liệu/kết quả dưới đây; lưu output vào evidence.</t>
        </is>
      </c>
      <c r="E15" s="8" t="inlineStr">
        <is>
          <t>/catalog/medications và /medications/search; q/limit/Unicode/wildcard/whitespace</t>
        </is>
      </c>
      <c r="F15" s="8" t="inlineStr">
        <is>
          <t>Toàn 43 test search giữ response/thứ tự/active/shape; không đổi expected.</t>
        </is>
      </c>
      <c r="G15" s="8" t="inlineStr">
        <is>
          <t>43 invocation đạt toàn bộ assertion trong lượt test 30/10; không skip. evidence/test-refresh-integration.xml</t>
        </is>
      </c>
      <c r="H15" s="7" t="inlineStr">
        <is>
          <t>Pass</t>
        </is>
      </c>
      <c r="I15" s="8" t="inlineStr">
        <is>
          <t>AC20 · EP (1) · tests/integration/test_catalog_search.py</t>
        </is>
      </c>
      <c r="Q15" s="10" t="inlineStr">
        <is>
          <t>Giới hạn riêng query/source</t>
        </is>
      </c>
      <c r="R15" s="11" t="inlineStr"/>
      <c r="S15" s="11" t="inlineStr"/>
      <c r="T15" s="11" t="inlineStr"/>
      <c r="U15" s="11" t="inlineStr">
        <is>
          <t>X</t>
        </is>
      </c>
    </row>
    <row r="16" ht="156.5" customHeight="1">
      <c r="A16" s="7" t="inlineStr">
        <is>
          <t>TC-CATINDEX-19</t>
        </is>
      </c>
      <c r="B16" s="7" t="inlineStr">
        <is>
          <t>Giữ mọi nguồn và ID, raw/null trong DB</t>
        </is>
      </c>
      <c r="C16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6" s="8" t="inlineStr">
        <is>
          <t>1. Mở terminal tại backend.
2. Chạy .venv/Scripts/python.exe -m pytest -p no:cacheprovider -vv tests/integration/test_catalog_index.py::test_sources_preserve_raw_nulls_ids_and_explicit_links__AC17_AC21 tests/unit/test_catalog_index.py::test_candidate_mapping_and_all_sources_preserve_raw_ids_nulls.
3. Đối chiếu assertion với dữ liệu/kết quả dưới đây; lưu output vào evidence.</t>
        </is>
      </c>
      <c r="E16" s="8" t="inlineStr">
        <is>
          <t>Hai ID cùng THUỐC ĐỎ khác strength/form; raw ingredient; hai alias; thuốc gỡ; alias không link</t>
        </is>
      </c>
      <c r="F16" s="8" t="inlineStr">
        <is>
          <t>Chỉ active qua link thật; giữ null/raw/ID, mọi alias_id/text/aid và nguồn name/ingredient/alias.</t>
        </is>
      </c>
      <c r="G16" s="8" t="inlineStr">
        <is>
          <t>2 invocation đạt toàn bộ assertion trong lượt test 30/10; không skip. evidence/test-refresh-integration.xml, evidence/test-refresh-unit.xml</t>
        </is>
      </c>
      <c r="H16" s="7" t="inlineStr">
        <is>
          <t>Pass</t>
        </is>
      </c>
      <c r="I16" s="8" t="inlineStr">
        <is>
          <t>AC17, AC21 · EP (2) · Decision Table (R2) · tests/integration/test_catalog_index.py::test_sources_preserve_raw_nulls_ids_and_explicit_links__AC17_AC21; tests/unit/test_catalog_index.py::test_candidate_mapping_and_all_sources_preserve_raw_ids_nulls</t>
        </is>
      </c>
    </row>
    <row r="17" ht="123.5" customHeight="1">
      <c r="A17" s="7" t="inlineStr">
        <is>
          <t>TC-CATINDEX-20</t>
        </is>
      </c>
      <c r="B17" s="7" t="inlineStr">
        <is>
          <t>Escape literal và bind SQL ở ba nhánh</t>
        </is>
      </c>
      <c r="C17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7" s="8" t="inlineStr">
        <is>
          <t>1. Mở terminal tại backend.
2. Chạy .venv/Scripts/python.exe -m pytest -p no:cacheprovider -vv tests/integration/test_catalog_index.py::test_literal_wildcards_and_sql_text_are_bound__AC17_AC21.
3. Đối chiếu assertion với dữ liệu/kết quả dưới đây; lưu output vào evidence.</t>
        </is>
      </c>
      <c r="E17" s="8" t="inlineStr">
        <is>
          <t>percent%; under_score; back\slash; quote apostrophe OR TRUE--</t>
        </is>
      </c>
      <c r="F17" s="8" t="inlineStr">
        <is>
          <t>Đúng ID literal, không mở wildcard/injection; query_key đã normalize lowercase.</t>
        </is>
      </c>
      <c r="G17" s="8" t="inlineStr">
        <is>
          <t>12 invocation đạt toàn bộ assertion trong lượt test 30/10; không skip. evidence/test-refresh-integration.xml</t>
        </is>
      </c>
      <c r="H17" s="7" t="inlineStr">
        <is>
          <t>Pass</t>
        </is>
      </c>
      <c r="I17" s="8" t="inlineStr">
        <is>
          <t>AC17, AC21 · EP (3) · tests/integration/test_catalog_index.py::test_literal_wildcards_and_sql_text_are_bound__AC17_AC21</t>
        </is>
      </c>
    </row>
    <row r="18" ht="123.5" customHeight="1">
      <c r="A18" s="7" t="inlineStr">
        <is>
          <t>TC-CATINDEX-21</t>
        </is>
      </c>
      <c r="B18" s="7" t="inlineStr">
        <is>
          <t>Kiểm biên200 distinct ID từng nguồn</t>
        </is>
      </c>
      <c r="C18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8" s="8" t="inlineStr">
        <is>
          <t>1. Mở terminal tại backend.
2. Chạy .venv/Scripts/python.exe -m pytest -p no:cacheprovider -vv tests/integration/test_catalog_index.py::test_distinct_id_budget_retains_all_alias_sources__AC18.
3. Đối chiếu assertion với dữ liệu/kết quả dưới đây; lưu output vào evidence.</t>
        </is>
      </c>
      <c r="E18" s="8" t="inlineStr">
        <is>
          <t>199/200/201 ID cho name/ingredient/alias, mỗi ID hai alias</t>
        </is>
      </c>
      <c r="F18" s="8" t="inlineStr">
        <is>
          <t>Trả min(N,200) distinct ID; truncated chỉ khi201; không mất nguồn alias của ID được chọn.</t>
        </is>
      </c>
      <c r="G18" s="8" t="inlineStr">
        <is>
          <t>9 invocation đạt toàn bộ assertion trong lượt test 30/10; không skip. evidence/test-refresh-integration.xml</t>
        </is>
      </c>
      <c r="H18" s="7" t="inlineStr">
        <is>
          <t>Pass</t>
        </is>
      </c>
      <c r="I18" s="8" t="inlineStr">
        <is>
          <t>AC18 · BVA (max-1/max/max+1:199/200/201) · EP (2) · tests/integration/test_catalog_index.py::test_distinct_id_budget_retains_all_alias_sources__AC18</t>
        </is>
      </c>
    </row>
    <row r="19" ht="156.5" customHeight="1">
      <c r="A19" s="7" t="inlineStr">
        <is>
          <t>TC-CATINDEX-22</t>
        </is>
      </c>
      <c r="B19" s="7" t="inlineStr">
        <is>
          <t>Giữ cụm nhỏ và dedup truy vấn trong lượt</t>
        </is>
      </c>
      <c r="C19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19" s="8" t="inlineStr">
        <is>
          <t>1. Mở terminal tại backend.
2. Chạy .venv/Scripts/python.exe -m pytest -p no:cacheprovider -vv tests/integration/test_catalog_index.py::test_large_small_clusters_query_dedup_preserves_sources__AC18 tests/unit/test_catalog_index.py::test_independent_cluster_queries_and_deduplication.
3. Đối chiếu assertion với dữ liệu/kết quả dưới đây; lưu output vào evidence.</t>
        </is>
      </c>
      <c r="E19" s="8" t="inlineStr">
        <is>
          <t>60 thuốc cụm lớn,1 cụm nhỏ; tên trùng khác16/160mg</t>
        </is>
      </c>
      <c r="F19" s="8" t="inlineStr">
        <is>
          <t>Giữ mọi cụm và line_ids/count; sáu SELECT/WITH có bound pattern/probe201, không SELECT toàn catalog.</t>
        </is>
      </c>
      <c r="G19" s="8" t="inlineStr">
        <is>
          <t>2 invocation đạt toàn bộ assertion trong lượt test 30/10; không skip. evidence/test-refresh-integration.xml, evidence/test-refresh-unit.xml</t>
        </is>
      </c>
      <c r="H19" s="7" t="inlineStr">
        <is>
          <t>Pass</t>
        </is>
      </c>
      <c r="I19" s="8" t="inlineStr">
        <is>
          <t>AC18 · EP (2) · tests/integration/test_catalog_index.py::test_large_small_clusters_query_dedup_preserves_sources__AC18; tests/unit/test_catalog_index.py::test_independent_cluster_queries_and_deduplication</t>
        </is>
      </c>
    </row>
    <row r="20" ht="140" customHeight="1">
      <c r="A20" s="7" t="inlineStr">
        <is>
          <t>TC-CATINDEX-23</t>
        </is>
      </c>
      <c r="B20" s="7" t="inlineStr">
        <is>
          <t>Không query với input không đủ thông tin</t>
        </is>
      </c>
      <c r="C20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0" s="8" t="inlineStr">
        <is>
          <t>1. Mở terminal tại backend.
2. Chạy .venv/Scripts/python.exe -m pytest -p no:cacheprovider -vv tests/integration/test_catalog_index.py::test_ineligible_inputs_issue_no_catalog_read__AC15_AC21 tests/unit/test_catalog_index.py::test_ineligible_no_read.
3. Đối chiếu assertion với dữ liệu/kết quả dưới đây; lưu output vào evidence.</t>
        </is>
      </c>
      <c r="E20" s="8" t="inlineStr">
        <is>
          <t>(blank),whitespace,SDK,5mg,Met.</t>
        </is>
      </c>
      <c r="F20" s="8" t="inlineStr">
        <is>
          <t>0 câu SQL đọc catalog, coverage rỗng; vẫn giữ normalized nguồn.</t>
        </is>
      </c>
      <c r="G20" s="8" t="inlineStr">
        <is>
          <t>8 invocation đạt toàn bộ assertion trong lượt test 30/10; không skip. evidence/test-refresh-integration.xml, evidence/test-refresh-unit.xml</t>
        </is>
      </c>
      <c r="H20" s="7" t="inlineStr">
        <is>
          <t>Pass</t>
        </is>
      </c>
      <c r="I20" s="8" t="inlineStr">
        <is>
          <t>AC15, AC21 · EP (4) · tests/integration/test_catalog_index.py::test_ineligible_inputs_issue_no_catalog_read__AC15_AC21; tests/unit/test_catalog_index.py::test_ineligible_no_read</t>
        </is>
      </c>
    </row>
    <row r="21" ht="123.5" customHeight="1">
      <c r="A21" s="7" t="inlineStr">
        <is>
          <t>TC-CATINDEX-24</t>
        </is>
      </c>
      <c r="B21" s="7" t="inlineStr">
        <is>
          <t>Thấy commit alias và liên kết không rebuild</t>
        </is>
      </c>
      <c r="C21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1" s="8" t="inlineStr">
        <is>
          <t>1. Mở terminal tại backend.
2. Chạy .venv/Scripts/python.exe -m pytest -p no:cacheprovider -vv tests/integration/test_catalog_index.py::test_alias_and_link_commits_visible_next_transaction__AC19.
3. Đối chiếu assertion với dữ liệu/kết quả dưới đây; lưu output vào evidence.</t>
        </is>
      </c>
      <c r="E21" s="8" t="inlineStr">
        <is>
          <t>Thêm alias chưa link, thêm link,sửa alias,gỡ link,thêm lại,xóa alias</t>
        </is>
      </c>
      <c r="F21" s="8" t="inlineStr">
        <is>
          <t>Chưa link không match; thêm link match;sửa text thấy text mới; gỡ link/xóa alias không match.</t>
        </is>
      </c>
      <c r="G21" s="8" t="inlineStr">
        <is>
          <t>1 invocation đạt toàn bộ assertion trong lượt test 30/10; không skip. evidence/test-refresh-integration.xml</t>
        </is>
      </c>
      <c r="H21" s="7" t="inlineStr">
        <is>
          <t>Pass</t>
        </is>
      </c>
      <c r="I21" s="8" t="inlineStr">
        <is>
          <t>AC19 · Decision Table (R1) · tests/integration/test_catalog_index.py::test_alias_and_link_commits_visible_next_transaction__AC19</t>
        </is>
      </c>
    </row>
    <row r="22" ht="123.5" customHeight="1">
      <c r="A22" s="7" t="inlineStr">
        <is>
          <t>TC-CATINDEX-25</t>
        </is>
      </c>
      <c r="B22" s="7" t="inlineStr">
        <is>
          <t>Kiểm ba expression GIN hợp lệ và khả dụng</t>
        </is>
      </c>
      <c r="C22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2" s="8" t="inlineStr">
        <is>
          <t>1. Mở terminal tại backend.
2. Chạy .venv/Scripts/python.exe -m pytest -p no:cacheprovider -vv tests/integration/test_catalog_index.py::test_expression_indexes_ready_and_used_in_eligibility_probe__AC16.
3. Đối chiếu assertion với dữ liệu/kết quả dưới đây; lưu output vào evidence.</t>
        </is>
      </c>
      <c r="E22" s="8" t="inlineStr">
        <is>
          <t>Index name/ingredient/alias; EXPLAIN JSON sau ANALYZE/flush pending list</t>
        </is>
      </c>
      <c r="F22" s="8" t="inlineStr">
        <is>
          <t>Ba index valid/ready và GIN đúng expression; rollback-only probe dùng index tương ứng, không benchmark.</t>
        </is>
      </c>
      <c r="G22" s="8" t="inlineStr">
        <is>
          <t>1 invocation đạt toàn bộ assertion trong lượt test 30/10; không skip. evidence/test-refresh-integration.xml</t>
        </is>
      </c>
      <c r="H22" s="7" t="inlineStr">
        <is>
          <t>Pass</t>
        </is>
      </c>
      <c r="I22" s="8" t="inlineStr">
        <is>
          <t>AC16 · EP (2) · tests/integration/test_catalog_index.py::test_expression_indexes_ready_and_used_in_eligibility_probe__AC16</t>
        </is>
      </c>
    </row>
    <row r="23" ht="123.5" customHeight="1">
      <c r="A23" s="7" t="inlineStr">
        <is>
          <t>TC-CATINDEX-26</t>
        </is>
      </c>
      <c r="B23" s="7" t="inlineStr">
        <is>
          <t>Kiểm lookup read-only và quyền client đóng</t>
        </is>
      </c>
      <c r="C23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3" s="8" t="inlineStr">
        <is>
          <t>1. Mở terminal tại backend.
2. Chạy .venv/Scripts/python.exe -m pytest -p no:cacheprovider -vv tests/integration/test_catalog_index.py::test_read_only_lookup_and_client_grants_remain_closed__AC21.
3. Đối chiếu assertion với dữ liệu/kết quả dưới đây; lưu output vào evidence.</t>
        </is>
      </c>
      <c r="E23" s="8" t="inlineStr">
        <is>
          <t>api_role READ ONLY; anon/authenticated trên3 bảng catalog</t>
        </is>
      </c>
      <c r="F23" s="8" t="inlineStr">
        <is>
          <t>Lookup thành công không ghi; hai client role không SELECT được bảng.</t>
        </is>
      </c>
      <c r="G23" s="8" t="inlineStr">
        <is>
          <t>1 invocation đạt toàn bộ assertion trong lượt test 30/10; không skip. evidence/test-refresh-integration.xml</t>
        </is>
      </c>
      <c r="H23" s="7" t="inlineStr">
        <is>
          <t>Pass</t>
        </is>
      </c>
      <c r="I23" s="8" t="inlineStr">
        <is>
          <t>AC21 · EP (1) · tests/integration/test_catalog_index.py::test_read_only_lookup_and_client_grants_remain_closed__AC21</t>
        </is>
      </c>
    </row>
    <row r="24" ht="123.5" customHeight="1">
      <c r="A24" s="7" t="inlineStr">
        <is>
          <t>TC-CATINDEX-27</t>
        </is>
      </c>
      <c r="B24" s="7" t="inlineStr">
        <is>
          <t>Báo truncated riêng không bỏ cụm nhỏ</t>
        </is>
      </c>
      <c r="C24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4" s="8" t="inlineStr">
        <is>
          <t>1. Mở terminal tại backend.
2. Chạy .venv/Scripts/python.exe -m pytest -p no:cacheprovider -vv tests/unit/test_catalog_index.py::test_truncation_is_per_query_and_source_and_keeps_small_cluster.
3. Đối chiếu assertion với dữ liệu/kết quả dưới đây; lưu output vào evidence.</t>
        </is>
      </c>
      <c r="E24" s="8" t="inlineStr">
        <is>
          <t>Fake reader trả truncated theo từng query/source</t>
        </is>
      </c>
      <c r="F24" s="8" t="inlineStr">
        <is>
          <t>Coverage giữ truncated riêng; cụm nhỏ không bị cap toàn cục.</t>
        </is>
      </c>
      <c r="G24" s="8" t="inlineStr">
        <is>
          <t>1 invocation đạt toàn bộ assertion trong lượt test 30/10; không skip. evidence/test-refresh-unit.xml</t>
        </is>
      </c>
      <c r="H24" s="7" t="inlineStr">
        <is>
          <t>Pass</t>
        </is>
      </c>
      <c r="I24" s="8" t="inlineStr">
        <is>
          <t>AC18 · Decision Table (R4) · tests/unit/test_catalog_index.py::test_truncation_is_per_query_and_source_and_keeps_small_cluster</t>
        </is>
      </c>
    </row>
    <row r="25" ht="123.5" customHeight="1">
      <c r="A25" s="7" t="inlineStr">
        <is>
          <t>TC-CATINDEX-28</t>
        </is>
      </c>
      <c r="B25" s="7" t="inlineStr">
        <is>
          <t>Áp dụng migration mới trên baseline có dữ liệu</t>
        </is>
      </c>
      <c r="C25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5" s="8" t="inlineStr">
        <is>
          <t>1. Tại gốc superproject, chạy backend/.venv/Scripts/python.exe work/4.12-ocr-text-normalization-catalog-index/scratch/test_refresh_upgrade.py.
2. Đối chiếu log test-refresh-migration-upgrade-final.log và JSON: passed=true, payload4, relations75, policies74, functions9.</t>
        </is>
      </c>
      <c r="E25" s="8" t="inlineStr">
        <is>
          <t>DB clone toàn schema local trừ alias index mới; thuốc/hoạt chất/alias/link tổng hợp</t>
        </is>
      </c>
      <c r="F25" s="8" t="inlineStr">
        <is>
          <t>Dữ liệu/ACL/RLS/policies/EXECUTE không đổi; GIN valid/ready; xóa DB thử đúng tên.</t>
        </is>
      </c>
      <c r="G25" s="8" t="inlineStr">
        <is>
          <t>Thực thi thành công trong lượt test 30/10; payload/ACL/RLS/policies/EXECUTE giữ nguyên. evidence/test-refresh-migration-upgrade-final.log</t>
        </is>
      </c>
      <c r="H25" s="7" t="inlineStr">
        <is>
          <t>Pass</t>
        </is>
      </c>
      <c r="I25" s="8" t="inlineStr">
        <is>
          <t>AC16, AC21 · EP (2) ·  · script upgrade local; evidence/test-refresh-migration-upgrade-final.log</t>
        </is>
      </c>
    </row>
    <row r="26" ht="107" customHeight="1">
      <c r="A26" s="7" t="inlineStr">
        <is>
          <t>TC-CATINDEX-29</t>
        </is>
      </c>
      <c r="B26" s="7" t="inlineStr">
        <is>
          <t>Áp dụng toàn migration từ DB sạch</t>
        </is>
      </c>
      <c r="C26" s="8" t="inlineStr">
        <is>
          <t>Checkout task 4.12; dependencies backend/.venv sẵn có; chạy từ backend. Ca integration cần Supabase local riêng đã reset, không dùng DB deploy/chung; dữ liệu do test tạo.</t>
        </is>
      </c>
      <c r="D26" s="8" t="inlineStr">
        <is>
          <t>1. Tại backend, kiểm project_id DrugTime-backend và chỉ DB local riêng.
2. Chạy supabase start rồi supabase db reset --local.
3. Kiểm log áp dụng đủ migration, exit0 và fixture integration AC16.</t>
        </is>
      </c>
      <c r="E26" s="8" t="inlineStr">
        <is>
          <t>Supabase local DrugTime-backend; migration tới20261030025813</t>
        </is>
      </c>
      <c r="F26" s="8" t="inlineStr">
        <is>
          <t>supabase db reset --local exit0, index alias được tạo; không sửa migration cũ.</t>
        </is>
      </c>
      <c r="G26" s="8" t="inlineStr">
        <is>
          <t>Thực thi thành công trong lượt test 30/10; Áp dụng toàn migration sạch tới index alias mới. evidence/test-refresh-db-reset.log</t>
        </is>
      </c>
      <c r="H26" s="7" t="inlineStr">
        <is>
          <t>Pass</t>
        </is>
      </c>
      <c r="I26" s="8" t="inlineStr">
        <is>
          <t>AC16 · EP (2) ·  · CLI local; evidence/test-refresh-db-reset.log</t>
        </is>
      </c>
    </row>
    <row r="27"/>
    <row r="28"/>
    <row r="29">
      <c r="G29" s="12" t="inlineStr">
        <is>
          <t>Pass</t>
        </is>
      </c>
      <c r="H29" s="13">
        <f>COUNTIF(H9:H26,"Pass")</f>
        <v/>
      </c>
    </row>
    <row r="30">
      <c r="G30" s="12" t="inlineStr">
        <is>
          <t>Fail</t>
        </is>
      </c>
      <c r="H30" s="13">
        <f>COUNTIF(H9:H26,"Fail")</f>
        <v/>
      </c>
    </row>
    <row r="31">
      <c r="G31" s="12" t="inlineStr">
        <is>
          <t>Pending</t>
        </is>
      </c>
      <c r="H31" s="13">
        <f>COUNTIF(H9:H26,"Pending")</f>
        <v/>
      </c>
    </row>
    <row r="32">
      <c r="G32" s="12" t="inlineStr">
        <is>
          <t>Total</t>
        </is>
      </c>
      <c r="H32" s="13">
        <f>SUM(H29:H31)</f>
        <v/>
      </c>
    </row>
  </sheetData>
  <autoFilter ref="A8:I26"/>
  <conditionalFormatting sqref="H9:H26">
    <cfRule type="cellIs" priority="1" operator="equal" dxfId="0">
      <formula>"Fail"</formula>
    </cfRule>
  </conditionalFormatting>
  <dataValidations count="1">
    <dataValidation sqref="H9:H26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4" customWidth="1" min="4" max="4"/>
    <col width="24" customWidth="1" min="5" max="5"/>
    <col width="24" customWidth="1" min="6" max="6"/>
    <col width="14" customWidth="1" min="7" max="7"/>
    <col width="40" customWidth="1" min="8" max="8"/>
    <col width="45" customWidth="1" min="9" max="9"/>
  </cols>
  <sheetData>
    <row r="1">
      <c r="A1" s="14" t="inlineStr">
        <is>
          <t>TEST REPORT</t>
        </is>
      </c>
    </row>
    <row r="2">
      <c r="C2" s="15" t="inlineStr">
        <is>
          <t>phucnguyenngoc</t>
        </is>
      </c>
      <c r="D2" s="15" t="inlineStr">
        <is>
          <t>Total</t>
        </is>
      </c>
    </row>
    <row r="3">
      <c r="A3" s="15" t="inlineStr">
        <is>
          <t>Executed</t>
        </is>
      </c>
      <c r="B3" s="9" t="inlineStr">
        <is>
          <t>Passed</t>
        </is>
      </c>
      <c r="C3" s="11">
        <f>'Chuẩn hóa OCR'!$H$43+'Index danh mục'!$H$29</f>
        <v/>
      </c>
      <c r="D3" s="15">
        <f>SUM(C3:C3)</f>
        <v/>
      </c>
    </row>
    <row r="4">
      <c r="A4" s="16" t="n"/>
      <c r="B4" s="9" t="inlineStr">
        <is>
          <t>Failed</t>
        </is>
      </c>
      <c r="C4" s="11">
        <f>'Chuẩn hóa OCR'!$H$44+'Index danh mục'!$H$30</f>
        <v/>
      </c>
      <c r="D4" s="15">
        <f>SUM(C4:C4)</f>
        <v/>
      </c>
    </row>
    <row r="5">
      <c r="A5" s="17" t="n"/>
      <c r="B5" s="9" t="inlineStr">
        <is>
          <t>(Total) Test executed (Passed + Failed)</t>
        </is>
      </c>
      <c r="C5" s="11">
        <f>C3+C4</f>
        <v/>
      </c>
      <c r="D5" s="15">
        <f>SUM(C5:C5)</f>
        <v/>
      </c>
    </row>
    <row r="6">
      <c r="A6" s="15" t="inlineStr">
        <is>
          <t>Pending</t>
        </is>
      </c>
      <c r="B6" s="10" t="inlineStr"/>
      <c r="C6" s="11">
        <f>'Chuẩn hóa OCR'!$H$45+'Index danh mục'!$H$31</f>
        <v/>
      </c>
      <c r="D6" s="15">
        <f>SUM(C6:C6)</f>
        <v/>
      </c>
    </row>
    <row r="7">
      <c r="A7" s="15" t="inlineStr">
        <is>
          <t>(Sub-total) Test Planned</t>
        </is>
      </c>
      <c r="B7" s="10" t="inlineStr"/>
      <c r="C7" s="11">
        <f>C5+C6</f>
        <v/>
      </c>
      <c r="D7" s="15">
        <f>SUM(C7:C7)</f>
        <v/>
      </c>
    </row>
    <row r="10">
      <c r="A10" s="5" t="inlineStr">
        <is>
          <t>Function</t>
        </is>
      </c>
      <c r="B10" s="5" t="inlineStr">
        <is>
          <t>Description</t>
        </is>
      </c>
      <c r="C10" s="5" t="inlineStr">
        <is>
          <t>Sheet Name</t>
        </is>
      </c>
      <c r="D10" s="5" t="inlineStr">
        <is>
          <t>% TCs Executed</t>
        </is>
      </c>
      <c r="E10" s="5" t="inlineStr">
        <is>
          <t>% TCs Passed</t>
        </is>
      </c>
      <c r="F10" s="5" t="inlineStr">
        <is>
          <t>% TCs Failed</t>
        </is>
      </c>
      <c r="G10" s="5" t="inlineStr">
        <is>
          <t>Priority</t>
        </is>
      </c>
      <c r="H10" s="5" t="inlineStr">
        <is>
          <t>Remarks</t>
        </is>
      </c>
      <c r="I10" s="5" t="inlineStr">
        <is>
          <t>Done by</t>
        </is>
      </c>
    </row>
    <row r="11" ht="74" customHeight="1">
      <c r="A11" s="11" t="inlineStr">
        <is>
          <t>Chuẩn hóa dòng và gom cụm OCR</t>
        </is>
      </c>
      <c r="B11" s="10" t="inlineStr">
        <is>
          <t>Chuẩn hóa dòng và gom cụm OCR</t>
        </is>
      </c>
      <c r="C11" s="11" t="inlineStr">
        <is>
          <t>Chuẩn hóa OCR</t>
        </is>
      </c>
      <c r="D11" s="18">
        <f>IFERROR(('Chuẩn hóa OCR'!$H$46-'Chuẩn hóa OCR'!$H$45)/'Chuẩn hóa OCR'!$H$46,0)</f>
        <v/>
      </c>
      <c r="E11" s="18">
        <f>IFERROR('Chuẩn hóa OCR'!$H$43/'Chuẩn hóa OCR'!$H$46,0)</f>
        <v/>
      </c>
      <c r="F11" s="18">
        <f>IFERROR('Chuẩn hóa OCR'!$H$44/'Chuẩn hóa OCR'!$H$46,0)</f>
        <v/>
      </c>
      <c r="G11" s="11" t="inlineStr">
        <is>
          <t>High</t>
        </is>
      </c>
      <c r="H11" s="10" t="inlineStr">
        <is>
          <t>Kết quả của lượt test 30/10 theo 23 AC mới; toàn suite còn lỗi nền tách riêng trong 05.</t>
        </is>
      </c>
      <c r="I11" s="11" t="inlineStr">
        <is>
          <t>phucnguyenngoc</t>
        </is>
      </c>
    </row>
    <row r="12" ht="74" customHeight="1">
      <c r="A12" s="11" t="inlineStr">
        <is>
          <t>Tra cứu catalog bằng index DB</t>
        </is>
      </c>
      <c r="B12" s="10" t="inlineStr">
        <is>
          <t>Tra cứu catalog bằng index DB</t>
        </is>
      </c>
      <c r="C12" s="11" t="inlineStr">
        <is>
          <t>Index danh mục</t>
        </is>
      </c>
      <c r="D12" s="18">
        <f>IFERROR(('Index danh mục'!$H$32-'Index danh mục'!$H$31)/'Index danh mục'!$H$32,0)</f>
        <v/>
      </c>
      <c r="E12" s="18">
        <f>IFERROR('Index danh mục'!$H$29/'Index danh mục'!$H$32,0)</f>
        <v/>
      </c>
      <c r="F12" s="18">
        <f>IFERROR('Index danh mục'!$H$30/'Index danh mục'!$H$32,0)</f>
        <v/>
      </c>
      <c r="G12" s="11" t="inlineStr">
        <is>
          <t>High</t>
        </is>
      </c>
      <c r="H12" s="10" t="inlineStr">
        <is>
          <t>Kết quả của lượt test 30/10 theo 23 AC mới; toàn suite còn lỗi nền tách riêng trong 05.</t>
        </is>
      </c>
      <c r="I12" s="11" t="inlineStr">
        <is>
          <t>phucnguyenngoc</t>
        </is>
      </c>
    </row>
    <row r="35">
      <c r="A35" s="19" t="inlineStr">
        <is>
          <t>Bug Report</t>
        </is>
      </c>
    </row>
    <row r="36">
      <c r="A36" s="20" t="inlineStr">
        <is>
          <t>Bug ID</t>
        </is>
      </c>
      <c r="B36" s="20" t="inlineStr">
        <is>
          <t>Description</t>
        </is>
      </c>
      <c r="C36" s="20" t="inlineStr">
        <is>
          <t>Steps to Reproduce</t>
        </is>
      </c>
      <c r="D36" s="20" t="inlineStr">
        <is>
          <t>Input Data</t>
        </is>
      </c>
      <c r="E36" s="20" t="inlineStr">
        <is>
          <t>Expected Result</t>
        </is>
      </c>
      <c r="F36" s="20" t="inlineStr">
        <is>
          <t>Actual Result</t>
        </is>
      </c>
      <c r="G36" s="20" t="inlineStr">
        <is>
          <t>Severity</t>
        </is>
      </c>
      <c r="H36" s="20" t="inlineStr">
        <is>
          <t>Name of Tester</t>
        </is>
      </c>
      <c r="I36" s="20" t="inlineStr">
        <is>
          <t>Logs</t>
        </is>
      </c>
    </row>
  </sheetData>
  <mergeCells count="2">
    <mergeCell ref="A1:G1"/>
    <mergeCell ref="A3:A5"/>
  </mergeCells>
  <conditionalFormatting sqref="F11:F12">
    <cfRule type="cellIs" priority="1" operator="greaterThan" dxfId="0">
      <formula>0.2</formula>
    </cfRule>
  </conditionalFormatting>
  <conditionalFormatting sqref="G11:G12">
    <cfRule type="expression" priority="2" dxfId="0">
      <formula>OR(G11="Critical",G11="High")</formula>
    </cfRule>
  </conditionalFormatting>
  <conditionalFormatting sqref="G37">
    <cfRule type="cellIs" priority="3" operator="equal" dxfId="1">
      <formula>"Critical"</formula>
    </cfRule>
    <cfRule type="cellIs" priority="4" operator="equal" dxfId="2">
      <formula>"High"</formula>
    </cfRule>
    <cfRule type="cellIs" priority="5" operator="equal" dxfId="3">
      <formula>"Medium"</formula>
    </cfRule>
  </conditionalFormatting>
  <dataValidations count="2">
    <dataValidation sqref="G11:G12" showDropDown="0" showInputMessage="0" showErrorMessage="0" allowBlank="1" type="list">
      <formula1>"Critical,High,Medium,Low"</formula1>
    </dataValidation>
    <dataValidation sqref="G37" showDropDown="0" showInputMessage="0" showErrorMessage="0" allowBlank="1" type="list">
      <formula1>"Critical,High,Medium,Low"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2026-10-30T06:59:08Z</dcterms:created>
  <dcterms:modified xmlns:dcterms="http://purl.org/dc/terms/" xmlns:xsi="http://www.w3.org/2001/XMLSchema-instance" xsi:type="dcterms:W3CDTF">2026-10-30T06:59:08Z</dcterms:modified>
</cp:coreProperties>
</file>