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Android build" sheetId="1" state="visible" r:id="rId1"/>
    <sheet xmlns:r="http://schemas.openxmlformats.org/officeDocument/2006/relationships" name="Đăng nhập người dùng" sheetId="2" state="visible" r:id="rId2"/>
    <sheet xmlns:r="http://schemas.openxmlformats.org/officeDocument/2006/relationships" name="Lịch uống thuốc" sheetId="3" state="visible" r:id="rId3"/>
    <sheet xmlns:r="http://schemas.openxmlformats.org/officeDocument/2006/relationships" name="Tải lịch uống" sheetId="4" state="visible" r:id="rId4"/>
    <sheet xmlns:r="http://schemas.openxmlformats.org/officeDocument/2006/relationships" name="Tương tác thuốc-thuốc" sheetId="5" state="visible" r:id="rId5"/>
    <sheet xmlns:r="http://schemas.openxmlformats.org/officeDocument/2006/relationships" name="Tương tác thuốc-thực phẩm" sheetId="6" state="visible" r:id="rId6"/>
    <sheet xmlns:r="http://schemas.openxmlformats.org/officeDocument/2006/relationships" name="Tra cứu hoạt chất" sheetId="7" state="visible" r:id="rId7"/>
    <sheet xmlns:r="http://schemas.openxmlformats.org/officeDocument/2006/relationships" name="Mã liên kết người thân" sheetId="8" state="visible" r:id="rId8"/>
    <sheet xmlns:r="http://schemas.openxmlformats.org/officeDocument/2006/relationships" name="Chọn thuốc danh mục" sheetId="9" state="visible" r:id="rId9"/>
    <sheet xmlns:r="http://schemas.openxmlformats.org/officeDocument/2006/relationships" name="Hồi quy xác nhận liều" sheetId="10" state="visible" r:id="rId10"/>
    <sheet xmlns:r="http://schemas.openxmlformats.org/officeDocument/2006/relationships" name="Landing page" sheetId="11" state="visible" r:id="rId11"/>
    <sheet xmlns:r="http://schemas.openxmlformats.org/officeDocument/2006/relationships" name="Yêu cầu liên kết người thân" sheetId="12" state="visible" r:id="rId12"/>
    <sheet xmlns:r="http://schemas.openxmlformats.org/officeDocument/2006/relationships" name="Theo dõi người thân (app)" sheetId="13" state="visible" r:id="rId13"/>
    <sheet xmlns:r="http://schemas.openxmlformats.org/officeDocument/2006/relationships" name="Link mời người thân" sheetId="14" state="visible" r:id="rId14"/>
    <sheet xmlns:r="http://schemas.openxmlformats.org/officeDocument/2006/relationships" name="Khung điều hướng app" sheetId="15" state="visible" r:id="rId15"/>
    <sheet xmlns:r="http://schemas.openxmlformats.org/officeDocument/2006/relationships" name="Duyệt yêu cầu liên kết" sheetId="16" state="visible" r:id="rId16"/>
    <sheet xmlns:r="http://schemas.openxmlformats.org/officeDocument/2006/relationships" name="Người giám sát" sheetId="17" state="visible" r:id="rId17"/>
    <sheet xmlns:r="http://schemas.openxmlformats.org/officeDocument/2006/relationships" name="Cảnh báo người thân" sheetId="18" state="visible" r:id="rId18"/>
    <sheet xmlns:r="http://schemas.openxmlformats.org/officeDocument/2006/relationships" name="FCM token Android" sheetId="19" state="visible" r:id="rId19"/>
    <sheet xmlns:r="http://schemas.openxmlformats.org/officeDocument/2006/relationships" name="Redeem flow E2E" sheetId="20" state="visible" r:id="rId20"/>
    <sheet xmlns:r="http://schemas.openxmlformats.org/officeDocument/2006/relationships" name="Lịch sử tuân thủ người thân" sheetId="21" state="visible" r:id="rId21"/>
    <sheet xmlns:r="http://schemas.openxmlformats.org/officeDocument/2006/relationships" name="Bỏ lỡ liều có xác minh" sheetId="22" state="visible" r:id="rId22"/>
    <sheet xmlns:r="http://schemas.openxmlformats.org/officeDocument/2006/relationships" name="Checkpoint đồng bộ liều" sheetId="23" state="visible" r:id="rId23"/>
    <sheet xmlns:r="http://schemas.openxmlformats.org/officeDocument/2006/relationships" name="Lịch sử chưa xác minh" sheetId="24" state="visible" r:id="rId24"/>
    <sheet xmlns:r="http://schemas.openxmlformats.org/officeDocument/2006/relationships" name="Chuẩn hóa OCR" sheetId="25" state="visible" r:id="rId25"/>
    <sheet xmlns:r="http://schemas.openxmlformats.org/officeDocument/2006/relationships" name="Index danh mục" sheetId="26" state="visible" r:id="rId26"/>
    <sheet xmlns:r="http://schemas.openxmlformats.org/officeDocument/2006/relationships" name="Report" sheetId="27" state="visible" r:id="rId27"/>
  </sheets>
  <definedNames>
    <definedName name="_xlnm._FilterDatabase" localSheetId="0" hidden="1">'Android build'!$A$8:$I$17</definedName>
    <definedName name="_xlnm._FilterDatabase" localSheetId="1" hidden="1">'Đăng nhập người dùng'!$A$8:$I$56</definedName>
    <definedName name="_xlnm._FilterDatabase" localSheetId="2" hidden="1">'Lịch uống thuốc'!$A$8:$I$48</definedName>
    <definedName name="_xlnm._FilterDatabase" localSheetId="3" hidden="1">'Tải lịch uống'!$A$8:$I$29</definedName>
    <definedName name="_xlnm._FilterDatabase" localSheetId="4" hidden="1">'Tương tác thuốc-thuốc'!$A$8:$I$49</definedName>
    <definedName name="_xlnm._FilterDatabase" localSheetId="5" hidden="1">'Tương tác thuốc-thực phẩm'!$A$8:$I$14</definedName>
    <definedName name="_xlnm._FilterDatabase" localSheetId="6" hidden="1">'Tra cứu hoạt chất'!$A$8:$I$14</definedName>
    <definedName name="_xlnm._FilterDatabase" localSheetId="7" hidden="1">'Mã liên kết người thân'!$A$8:$I$44</definedName>
    <definedName name="_xlnm._FilterDatabase" localSheetId="8" hidden="1">'Chọn thuốc danh mục'!$A$8:$I$60</definedName>
    <definedName name="_xlnm._FilterDatabase" localSheetId="9" hidden="1">'Hồi quy xác nhận liều'!$A$8:$I$9</definedName>
    <definedName name="_xlnm._FilterDatabase" localSheetId="10" hidden="1">'Landing page'!$A$8:$I$40</definedName>
    <definedName name="_xlnm._FilterDatabase" localSheetId="11" hidden="1">'Yêu cầu liên kết người thân'!$A$8:$I$69</definedName>
    <definedName name="_xlnm._FilterDatabase" localSheetId="12" hidden="1">'Theo dõi người thân (app)'!$A$8:$I$43</definedName>
    <definedName name="_xlnm._FilterDatabase" localSheetId="13" hidden="1">'Link mời người thân'!$A$8:$I$21</definedName>
    <definedName name="_xlnm._FilterDatabase" localSheetId="14" hidden="1">'Khung điều hướng app'!$A$8:$I$13</definedName>
    <definedName name="_xlnm._FilterDatabase" localSheetId="15" hidden="1">'Duyệt yêu cầu liên kết'!$A$8:$I$35</definedName>
    <definedName name="_xlnm._FilterDatabase" localSheetId="16" hidden="1">'Người giám sát'!$A$8:$I$36</definedName>
    <definedName name="_xlnm._FilterDatabase" localSheetId="17" hidden="1">'Cảnh báo người thân'!$A$8:$I$81</definedName>
    <definedName name="_xlnm._FilterDatabase" localSheetId="18" hidden="1">'FCM token Android'!$A$8:$I$21</definedName>
    <definedName name="_xlnm._FilterDatabase" localSheetId="19" hidden="1">'Redeem flow E2E'!$A$8:$I$31</definedName>
    <definedName name="_xlnm._FilterDatabase" localSheetId="20" hidden="1">'Lịch sử tuân thủ người thân'!$A$8:$I$61</definedName>
    <definedName name="_xlnm._FilterDatabase" localSheetId="21" hidden="1">'Bỏ lỡ liều có xác minh'!$A$8:$I$57</definedName>
    <definedName name="_xlnm._FilterDatabase" localSheetId="22" hidden="1">'Checkpoint đồng bộ liều'!$A$8:$I$28</definedName>
    <definedName name="_xlnm._FilterDatabase" localSheetId="23" hidden="1">'Lịch sử chưa xác minh'!$A$8:$I$18</definedName>
    <definedName name="_xlnm._FilterDatabase" localSheetId="24" hidden="1">'Chuẩn hóa OCR'!$A$8:$I$29</definedName>
    <definedName name="_xlnm._FilterDatabase" localSheetId="25" hidden="1">'Index danh mục'!$A$8:$I$26</definedName>
  </definedNames>
  <calcPr calcId="191028" fullCalcOnLoad="1"/>
</workbook>
</file>

<file path=xl/styles.xml><?xml version="1.0" encoding="utf-8"?>
<styleSheet xmlns="http://schemas.openxmlformats.org/spreadsheetml/2006/main">
  <numFmts count="2">
    <numFmt numFmtId="164" formatCode="dd/mm/yyyy"/>
    <numFmt numFmtId="165" formatCode="yyyy-mm-dd"/>
  </numFmts>
  <fonts count="7">
    <font>
      <name val="Calibri"/>
      <family val="2"/>
      <color theme="1"/>
      <sz val="11"/>
      <scheme val="minor"/>
    </font>
    <font>
      <name val="Times New Roman"/>
      <b val="1"/>
      <sz val="12"/>
    </font>
    <font>
      <name val="Times New Roman"/>
      <sz val="12"/>
    </font>
    <font>
      <name val="Times New Roman"/>
      <b val="1"/>
      <sz val="11"/>
    </font>
    <font>
      <name val="Times New Roman"/>
      <sz val="11"/>
    </font>
    <font>
      <name val="Times New Roman"/>
      <b val="1"/>
      <sz val="18"/>
    </font>
    <font>
      <name val="Times New Roman"/>
      <b val="1"/>
      <sz val="14"/>
    </font>
  </fonts>
  <fills count="5">
    <fill>
      <patternFill/>
    </fill>
    <fill>
      <patternFill patternType="gray125"/>
    </fill>
    <fill>
      <patternFill patternType="solid">
        <fgColor rgb="006AA84F"/>
      </patternFill>
    </fill>
    <fill>
      <patternFill patternType="solid">
        <fgColor rgb="00A8D08D"/>
      </patternFill>
    </fill>
    <fill>
      <patternFill patternType="solid">
        <fgColor rgb="00FFFF00"/>
      </patternFill>
    </fill>
  </fills>
  <borders count="6">
    <border>
      <left/>
      <right/>
      <top/>
      <bottom/>
      <diagonal/>
    </border>
    <border>
      <left style="medium"/>
      <right style="medium"/>
      <top style="medium"/>
      <bottom style="medium"/>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1" fillId="0" borderId="0" applyAlignment="1" pivotButton="0" quotePrefix="0" xfId="0">
      <alignment horizontal="left" vertical="center" wrapText="1"/>
    </xf>
    <xf numFmtId="0" fontId="1" fillId="2" borderId="2" applyAlignment="1" pivotButton="0" quotePrefix="0" xfId="0">
      <alignment horizontal="center" vertical="center" wrapText="1"/>
    </xf>
    <xf numFmtId="0" fontId="1" fillId="2" borderId="2"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5" fillId="3" borderId="0" applyAlignment="1" pivotButton="0" quotePrefix="0" xfId="0">
      <alignment horizontal="center" vertical="center" wrapText="1"/>
    </xf>
    <xf numFmtId="0" fontId="1" fillId="0" borderId="2" applyAlignment="1" pivotButton="0" quotePrefix="0" xfId="0">
      <alignment horizontal="center" vertical="center" wrapText="1"/>
    </xf>
    <xf numFmtId="0" fontId="0" fillId="0" borderId="4" pivotButton="0" quotePrefix="0" xfId="0"/>
    <xf numFmtId="0" fontId="0" fillId="0" borderId="5" pivotButton="0" quotePrefix="0" xfId="0"/>
    <xf numFmtId="9" fontId="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3" fillId="4" borderId="2" applyAlignment="1" pivotButton="0" quotePrefix="0" xfId="0">
      <alignment horizontal="center" vertical="center" wrapText="1"/>
    </xf>
    <xf numFmtId="164" fontId="2" fillId="2" borderId="1" applyAlignment="1" pivotButton="0" quotePrefix="0" xfId="0">
      <alignment horizontal="center" vertical="center" wrapText="1"/>
    </xf>
    <xf numFmtId="0" fontId="4" fillId="0" borderId="2" applyAlignment="1" pivotButton="0" quotePrefix="0" xfId="0">
      <alignment horizontal="left" vertical="center" wrapText="1"/>
    </xf>
  </cellXfs>
  <cellStyles count="1">
    <cellStyle name="Bình thường" xfId="0" builtinId="0"/>
  </cellStyles>
  <dxfs count="4">
    <dxf>
      <font>
        <color rgb="009C0006"/>
      </font>
      <fill>
        <patternFill patternType="solid">
          <bgColor rgb="00FFC7CE"/>
        </patternFill>
      </fill>
    </dxf>
    <dxf>
      <font>
        <b val="1"/>
        <color rgb="00FFFFFF"/>
      </font>
      <fill>
        <patternFill patternType="solid">
          <bgColor rgb="00C00000"/>
        </patternFill>
      </fill>
    </dxf>
    <dxf>
      <font>
        <b val="1"/>
        <color rgb="00FFFFFF"/>
      </font>
      <fill>
        <patternFill patternType="solid">
          <bgColor rgb="00FF0000"/>
        </patternFill>
      </fill>
    </dxf>
    <dxf>
      <font>
        <b val="1"/>
        <color rgb="00000000"/>
      </font>
      <fill>
        <patternFill patternType="solid">
          <bgColor rgb="00FFE599"/>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Kết quả theo chức năng</a:t>
            </a:r>
          </a:p>
        </rich>
      </tx>
    </title>
    <plotArea>
      <barChart>
        <barDir val="col"/>
        <grouping val="clustered"/>
        <ser>
          <idx val="0"/>
          <order val="0"/>
          <tx>
            <strRef>
              <f>'Report'!D10</f>
            </strRef>
          </tx>
          <spPr>
            <a:ln xmlns:a="http://schemas.openxmlformats.org/drawingml/2006/main">
              <a:prstDash val="solid"/>
            </a:ln>
          </spPr>
          <cat>
            <numRef>
              <f>'Report'!$A$11:$A$36</f>
            </numRef>
          </cat>
          <val>
            <numRef>
              <f>'Report'!$D$11:$D$36</f>
            </numRef>
          </val>
        </ser>
        <ser>
          <idx val="1"/>
          <order val="1"/>
          <tx>
            <strRef>
              <f>'Report'!E10</f>
            </strRef>
          </tx>
          <spPr>
            <a:ln xmlns:a="http://schemas.openxmlformats.org/drawingml/2006/main">
              <a:prstDash val="solid"/>
            </a:ln>
          </spPr>
          <cat>
            <numRef>
              <f>'Report'!$A$11:$A$36</f>
            </numRef>
          </cat>
          <val>
            <numRef>
              <f>'Report'!$E$11:$E$36</f>
            </numRef>
          </val>
        </ser>
        <ser>
          <idx val="2"/>
          <order val="2"/>
          <tx>
            <strRef>
              <f>'Report'!F10</f>
            </strRef>
          </tx>
          <spPr>
            <a:ln xmlns:a="http://schemas.openxmlformats.org/drawingml/2006/main">
              <a:prstDash val="solid"/>
            </a:ln>
          </spPr>
          <cat>
            <numRef>
              <f>'Report'!$A$11:$A$36</f>
            </numRef>
          </cat>
          <val>
            <numRef>
              <f>'Report'!$F$11:$F$36</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Tổng Pass / Fail</a:t>
            </a:r>
          </a:p>
        </rich>
      </tx>
    </title>
    <plotArea>
      <pieChart>
        <varyColors val="1"/>
        <ser>
          <idx val="0"/>
          <order val="0"/>
          <spPr>
            <a:ln xmlns:a="http://schemas.openxmlformats.org/drawingml/2006/main">
              <a:prstDash val="solid"/>
            </a:ln>
          </spPr>
          <cat>
            <numRef>
              <f>'Report'!$B$3:$B$4</f>
            </numRef>
          </cat>
          <val>
            <numRef>
              <f>'Report'!$E$3:$E$4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38</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38</row>
      <rowOff>0</rowOff>
    </from>
    <ext cx="43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23"/>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s>
  <sheetData>
    <row r="1">
      <c r="A1" s="1" t="inlineStr">
        <is>
          <t>Project Name</t>
        </is>
      </c>
      <c r="B1" s="2" t="inlineStr">
        <is>
          <t>DrugTime</t>
        </is>
      </c>
    </row>
    <row r="2">
      <c r="A2" s="1" t="inlineStr">
        <is>
          <t>Module Name</t>
        </is>
      </c>
      <c r="B2" s="2" t="inlineStr">
        <is>
          <t>Build ứng dụng Android (BUILD)</t>
        </is>
      </c>
    </row>
    <row r="3">
      <c r="A3" s="1" t="inlineStr">
        <is>
          <t>Created By</t>
        </is>
      </c>
      <c r="B3" s="2" t="inlineStr">
        <is>
          <t>zannguyen</t>
        </is>
      </c>
    </row>
    <row r="4">
      <c r="A4" s="1" t="inlineStr">
        <is>
          <t>Creation Date</t>
        </is>
      </c>
      <c r="B4" s="21" t="n">
        <v>46303</v>
      </c>
    </row>
    <row r="5">
      <c r="A5" s="1" t="inlineStr">
        <is>
          <t>Reviewed By</t>
        </is>
      </c>
      <c r="B5" s="2" t="inlineStr"/>
    </row>
    <row r="6">
      <c r="A6" s="1" t="inlineStr">
        <is>
          <t>Reviewed Date</t>
        </is>
      </c>
      <c r="B6" s="2" t="n"/>
    </row>
    <row r="7">
      <c r="K7" s="4" t="inlineStr">
        <is>
          <t>Equivalence Partitioning</t>
        </is>
      </c>
      <c r="Q7" s="4" t="inlineStr">
        <is>
          <t>Kết quả flutter build apk --debug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row>
    <row r="9" ht="74" customHeight="1">
      <c r="A9" s="7" t="inlineStr">
        <is>
          <t>TC-BUILD-01</t>
        </is>
      </c>
      <c r="B9" s="7" t="inlineStr">
        <is>
          <t>Build APK debug trên mã nguồn chưa sửa (main 1dc7d37) để xác nhận lỗi</t>
        </is>
      </c>
      <c r="C9" s="8" t="inlineStr">
        <is>
          <t>frontend ở commit 1dc7d37 (main), chưa bật desugaring, flutter_timezone 2.1.0; Android SDK và JDK 17 đã cài</t>
        </is>
      </c>
      <c r="D9" s="8" t="inlineStr">
        <is>
          <t>1. cd frontend/mobile
2. flutter build apk --debug --dart-define=DRUGTIME_API_BASE_URL=http://10.0.2.2:8000</t>
        </is>
      </c>
      <c r="E9" s="8" t="inlineStr">
        <is>
          <t>Desugaring: không bật; flutter_timezone: ^2.0.1</t>
        </is>
      </c>
      <c r="F9" s="8" t="inlineStr">
        <is>
          <t>Build fail ở task :app:checkDebugAarMetadata với thông báo "Dependency ':flutter_local_notifications' requires core library desugaring to be enabled for :app."</t>
        </is>
      </c>
      <c r="G9" s="8" t="inlineStr">
        <is>
          <t>Fail ở :app:checkDebugAarMetadata, đúng thông báo trên, exit 1</t>
        </is>
      </c>
      <c r="H9" s="7" t="inlineStr">
        <is>
          <t>Pass</t>
        </is>
      </c>
      <c r="I9" s="8" t="inlineStr">
        <is>
          <t>AC1 (trước khi sửa) · Decision Table (R1) · EP (3,4) · evidence/implement-P1-before.log</t>
        </is>
      </c>
      <c r="K9" s="9" t="inlineStr">
        <is>
          <t>Cấu hình core library desugaring trong android/app/build.gradle.kts</t>
        </is>
      </c>
      <c r="L9" s="10" t="inlineStr">
        <is>
          <t>Bật (isCoreLibraryDesugaringEnabled = true + desugar_jdk_libs)</t>
        </is>
      </c>
      <c r="M9" s="10" t="inlineStr">
        <is>
          <t>1</t>
        </is>
      </c>
      <c r="N9" s="10" t="inlineStr">
        <is>
          <t>Không bật</t>
        </is>
      </c>
      <c r="O9" s="10" t="inlineStr">
        <is>
          <t>3</t>
        </is>
      </c>
      <c r="Q9" s="10" t="inlineStr">
        <is>
          <t>Bật desugaring?</t>
        </is>
      </c>
      <c r="R9" s="11" t="inlineStr">
        <is>
          <t>No</t>
        </is>
      </c>
      <c r="S9" s="11" t="inlineStr">
        <is>
          <t>Yes</t>
        </is>
      </c>
      <c r="T9" s="11" t="inlineStr">
        <is>
          <t>Yes</t>
        </is>
      </c>
    </row>
    <row r="10" ht="90.5" customHeight="1">
      <c r="A10" s="7" t="inlineStr">
        <is>
          <t>TC-BUILD-02</t>
        </is>
      </c>
      <c r="B10" s="7" t="inlineStr">
        <is>
          <t>Build APK debug khi chỉ bật desugaring, chưa nâng flutter_timezone</t>
        </is>
      </c>
      <c r="C10" s="8" t="inlineStr">
        <is>
          <t>Như TC-BUILD-01, đã thêm isCoreLibraryDesugaringEnabled = true và coreLibraryDesugaring("com.android.tools:desugar_jdk_libs:2.1.4")</t>
        </is>
      </c>
      <c r="D10" s="8" t="inlineStr">
        <is>
          <t>1. cd frontend/mobile
2. flutter build apk --debug --dart-define=DRUGTIME_API_BASE_URL=http://10.0.2.2:8000</t>
        </is>
      </c>
      <c r="E10" s="8" t="inlineStr">
        <is>
          <t>Desugaring: bật; flutter_timezone: 2.1.0</t>
        </is>
      </c>
      <c r="F10" s="8" t="inlineStr">
        <is>
          <t>Build fail ở :flutter_timezone:compileDebugKotlin với "Unresolved reference 'Registrar'"</t>
        </is>
      </c>
      <c r="G10" s="8" t="inlineStr">
        <is>
          <t>Fail ở :flutter_timezone:compileDebugKotlin, FlutterTimezonePlugin.kt:12:48 Unresolved reference 'Registrar', exit 1</t>
        </is>
      </c>
      <c r="H10" s="7" t="inlineStr">
        <is>
          <t>Pass</t>
        </is>
      </c>
      <c r="I10" s="8" t="inlineStr">
        <is>
          <t>AC1 · Decision Table (R2) · EP (1,4) · evidence/implement-P2.log</t>
        </is>
      </c>
      <c r="K10" s="9" t="inlineStr">
        <is>
          <t>Phiên bản flutter_timezone</t>
        </is>
      </c>
      <c r="L10" s="10" t="inlineStr">
        <is>
          <t>≥ 3.0 (dùng 5.1.1, embedding v2)</t>
        </is>
      </c>
      <c r="M10" s="10" t="inlineStr">
        <is>
          <t>2</t>
        </is>
      </c>
      <c r="N10" s="10" t="inlineStr">
        <is>
          <t>2.x (dùng PluginRegistry.Registrar đã bị gỡ)</t>
        </is>
      </c>
      <c r="O10" s="10" t="inlineStr">
        <is>
          <t>4</t>
        </is>
      </c>
      <c r="Q10" s="10" t="inlineStr">
        <is>
          <t>flutter_timezone ≥ 3.0?</t>
        </is>
      </c>
      <c r="R10" s="11" t="inlineStr">
        <is>
          <t>No</t>
        </is>
      </c>
      <c r="S10" s="11" t="inlineStr">
        <is>
          <t>No</t>
        </is>
      </c>
      <c r="T10" s="11" t="inlineStr">
        <is>
          <t>Yes</t>
        </is>
      </c>
    </row>
    <row r="11" ht="74" customHeight="1">
      <c r="A11" s="7" t="inlineStr">
        <is>
          <t>TC-BUILD-03</t>
        </is>
      </c>
      <c r="B11" s="7" t="inlineStr">
        <is>
          <t>Build APK debug sau khi sửa (bật desugaring và nâng flutter_timezone)</t>
        </is>
      </c>
      <c r="C11" s="8" t="inlineStr">
        <is>
          <t>frontend nhánh fix/adhoc-20261007-android-desugaring: desugaring bật, flutter_timezone ^5.1.1</t>
        </is>
      </c>
      <c r="D11" s="8" t="inlineStr">
        <is>
          <t>1. cd frontend/mobile
2. flutter build apk --debug --dart-define=DRUGTIME_API_BASE_URL=http://10.0.2.2:8000</t>
        </is>
      </c>
      <c r="E11" s="8" t="inlineStr">
        <is>
          <t>Desugaring: bật; flutter_timezone: 5.1.1</t>
        </is>
      </c>
      <c r="F11" s="8" t="inlineStr">
        <is>
          <t>Build thành công, tạo build/app/outputs/flutter-apk/app-debug.apk, exit 0</t>
        </is>
      </c>
      <c r="G11" s="8" t="inlineStr">
        <is>
          <t>√ Built build\app\outputs\flutter-apk\app-debug.apk, exit 0</t>
        </is>
      </c>
      <c r="H11" s="7" t="inlineStr">
        <is>
          <t>Pass</t>
        </is>
      </c>
      <c r="I11" s="8" t="inlineStr">
        <is>
          <t>AC1 (hồi quy) · Decision Table (R3) · EP (1,2) · evidence/implement-P3.log</t>
        </is>
      </c>
      <c r="Q11" s="6" t="inlineStr">
        <is>
          <t>Action</t>
        </is>
      </c>
      <c r="R11" s="5" t="inlineStr">
        <is>
          <t>R1</t>
        </is>
      </c>
      <c r="S11" s="5" t="inlineStr">
        <is>
          <t>R2</t>
        </is>
      </c>
      <c r="T11" s="5" t="inlineStr">
        <is>
          <t>R3</t>
        </is>
      </c>
    </row>
    <row r="12" ht="57.5" customHeight="1">
      <c r="A12" s="7" t="inlineStr">
        <is>
          <t>TC-BUILD-04</t>
        </is>
      </c>
      <c r="B12" s="7" t="inlineStr">
        <is>
          <t>Phân tích tĩnh mã Dart sau khi sửa</t>
        </is>
      </c>
      <c r="C12" s="8" t="inlineStr">
        <is>
          <t>Như TC-BUILD-03</t>
        </is>
      </c>
      <c r="D12" s="8" t="inlineStr">
        <is>
          <t>1. cd frontend/mobile
2. flutter analyze --no-fatal-infos</t>
        </is>
      </c>
      <c r="E12" s="8" t="inlineStr">
        <is>
          <t>(không có)</t>
        </is>
      </c>
      <c r="F12" s="8" t="inlineStr">
        <is>
          <t>No issues found!</t>
        </is>
      </c>
      <c r="G12" s="8" t="inlineStr">
        <is>
          <t>No issues found! (ran in 8.1s)</t>
        </is>
      </c>
      <c r="H12" s="7" t="inlineStr">
        <is>
          <t>Pass</t>
        </is>
      </c>
      <c r="I12" s="8" t="inlineStr">
        <is>
          <t>AC2 · evidence/implement-final-frontend.log</t>
        </is>
      </c>
      <c r="Q12" s="10" t="inlineStr">
        <is>
          <t>Fail :app:checkDebugAarMetadata (requires core library desugaring)</t>
        </is>
      </c>
      <c r="R12" s="11" t="inlineStr">
        <is>
          <t>X</t>
        </is>
      </c>
      <c r="S12" s="11" t="inlineStr"/>
      <c r="T12" s="11" t="inlineStr"/>
    </row>
    <row r="13" ht="57.5" customHeight="1">
      <c r="A13" s="7" t="inlineStr">
        <is>
          <t>TC-BUILD-05</t>
        </is>
      </c>
      <c r="B13" s="7" t="inlineStr">
        <is>
          <t>Chạy toàn bộ unit/widget test của Mobile App sau khi sửa</t>
        </is>
      </c>
      <c r="C13" s="8" t="inlineStr">
        <is>
          <t>Như TC-BUILD-03</t>
        </is>
      </c>
      <c r="D13" s="8" t="inlineStr">
        <is>
          <t>1. cd frontend/mobile
2. flutter test</t>
        </is>
      </c>
      <c r="E13" s="8" t="inlineStr">
        <is>
          <t>(không có)</t>
        </is>
      </c>
      <c r="F13" s="8" t="inlineStr">
        <is>
          <t>All tests passed!, không có test fail hay skip</t>
        </is>
      </c>
      <c r="G13" s="8" t="inlineStr">
        <is>
          <t>+331: All tests passed!</t>
        </is>
      </c>
      <c r="H13" s="7" t="inlineStr">
        <is>
          <t>Pass</t>
        </is>
      </c>
      <c r="I13" s="8" t="inlineStr">
        <is>
          <t>AC2 · evidence/implement-final-frontend.log</t>
        </is>
      </c>
      <c r="Q13" s="10" t="inlineStr">
        <is>
          <t>Fail :flutter_timezone:compileDebugKotlin (Unresolved reference 'Registrar')</t>
        </is>
      </c>
      <c r="R13" s="11" t="inlineStr"/>
      <c r="S13" s="11" t="inlineStr">
        <is>
          <t>X</t>
        </is>
      </c>
      <c r="T13" s="11" t="inlineStr"/>
    </row>
    <row r="14" ht="90.5" customHeight="1">
      <c r="A14" s="7" t="inlineStr">
        <is>
          <t>TC-BUILD-06</t>
        </is>
      </c>
      <c r="B14" s="7" t="inlineStr">
        <is>
          <t>Kiểm phụ thuộc trong pubspec sau khi sửa và không đổi mã Dart</t>
        </is>
      </c>
      <c r="C14" s="8" t="inlineStr">
        <is>
          <t>Như TC-BUILD-03</t>
        </is>
      </c>
      <c r="D14" s="8" t="inlineStr">
        <is>
          <t>1. Mở frontend/mobile/pubspec.yaml, tìm flutter_local_notifications, timezone, flutter_timezone
2. Mở pubspec.lock, xem khối flutter_timezone
3. git -C frontend diff --stat -- mobile/lib</t>
        </is>
      </c>
      <c r="E14" s="8" t="inlineStr">
        <is>
          <t>(không có)</t>
        </is>
      </c>
      <c r="F14" s="8" t="inlineStr">
        <is>
          <t>pubspec.yaml còn flutter_local_notifications ^17.2.2 và timezone ^0.9.4, flutter_timezone ^5.1.1; pubspec.lock khóa flutter_timezone 5.1.1; không có thay đổi trong mobile/lib</t>
        </is>
      </c>
      <c r="G14" s="8" t="inlineStr">
        <is>
          <t>pubspec.yaml dòng 19–21 đúng như mong đợi; pubspec.lock version "5.1.1"; diff mobile/lib rỗng</t>
        </is>
      </c>
      <c r="H14" s="7" t="inlineStr">
        <is>
          <t>Pass</t>
        </is>
      </c>
      <c r="I14" s="8" t="inlineStr">
        <is>
          <t>AC3 · manual · evidence/testcase-TC-BUILD-06.log</t>
        </is>
      </c>
      <c r="Q14" s="10" t="inlineStr">
        <is>
          <t>Build thành công app-debug.apk</t>
        </is>
      </c>
      <c r="R14" s="11" t="inlineStr"/>
      <c r="S14" s="11" t="inlineStr"/>
      <c r="T14" s="11" t="inlineStr">
        <is>
          <t>X</t>
        </is>
      </c>
    </row>
    <row r="15" ht="123.5" customHeight="1">
      <c r="A15" s="7" t="inlineStr">
        <is>
          <t>TC-BUILD-07</t>
        </is>
      </c>
      <c r="B15" s="7" t="inlineStr">
        <is>
          <t>Cài APK đã sửa lên Android emulator và mở app</t>
        </is>
      </c>
      <c r="C15" s="8" t="inlineStr">
        <is>
          <t>Android emulator (emulator-5554) đã khởi động xong; APK từ TC-BUILD-03</t>
        </is>
      </c>
      <c r="D15" s="8" t="inlineStr">
        <is>
          <t>1. adb -s emulator-5554 install -r build/app/outputs/flutter-apk/app-debug.apk
2. adb -s emulator-5554 shell monkey -p vn.drugtime.drugtime_mobile -c android.intent.category.LAUNCHER 1
3. Chờ 15 giây, kiểm tiến trình app và logcat
4. Chụp màn hình</t>
        </is>
      </c>
      <c r="E15" s="8" t="inlineStr">
        <is>
          <t>Gói vn.drugtime.drugtime_mobile</t>
        </is>
      </c>
      <c r="F15" s="8" t="inlineStr">
        <is>
          <t>Cài Success; app chạy (có pid), logcat không có FATAL EXCEPTION; màn hình hiện "Đăng nhập" với tab "Số điện thoại" và nút "Gửi mã OTP"</t>
        </is>
      </c>
      <c r="G15" s="8" t="inlineStr">
        <is>
          <t>Performing Streamed Install – Success; pid 6852; không có FATAL EXCEPTION; màn hình Đăng nhập hiện đúng</t>
        </is>
      </c>
      <c r="H15" s="7" t="inlineStr">
        <is>
          <t>Pass</t>
        </is>
      </c>
      <c r="I15" s="8" t="inlineStr">
        <is>
          <t>AC4 · manual · evidence/implement-P5.log, evidence/implement-P5-login.png</t>
        </is>
      </c>
    </row>
    <row r="16" ht="90.5" customHeight="1">
      <c r="A16" s="7" t="inlineStr">
        <is>
          <t>TC-BUILD-08</t>
        </is>
      </c>
      <c r="B16" s="7" t="inlineStr">
        <is>
          <t>Chạy workflow Mobile CI có bước build APK trên pull request</t>
        </is>
      </c>
      <c r="C16" s="8" t="inlineStr">
        <is>
          <t>Nhánh fix/adhoc-20261007-android-desugaring của frontend đã push và mở PR vào main</t>
        </is>
      </c>
      <c r="D16" s="8" t="inlineStr">
        <is>
          <t>1. Mở tab Actions của PR
2. Xem job build-and-test của workflow Mobile CI</t>
        </is>
      </c>
      <c r="E16" s="8" t="inlineStr">
        <is>
          <t>Workflow .github/workflows/mobile-ci.yml (bước setup-java 17 và "Build Android APK (debug)")</t>
        </is>
      </c>
      <c r="F16" s="8" t="inlineStr">
        <is>
          <t>Mọi bước xanh, gồm "Build Android APK (debug)"</t>
        </is>
      </c>
      <c r="G16" s="8" t="inlineStr">
        <is>
          <t>PR frontend #27, run 37658903070 trên e897a56: conclusion=success; mọi bước success, gồm "Build Android APK (debug)" (✓ Built build/app/outputs/flutter-apk/app-debug.apk), thời gian job 5m44s</t>
        </is>
      </c>
      <c r="H16" s="7" t="inlineStr">
        <is>
          <t>Pass</t>
        </is>
      </c>
      <c r="I16" s="8" t="inlineStr">
        <is>
          <t>AC5 · manual (GitHub Actions) · evidence/ci-pr27.log</t>
        </is>
      </c>
    </row>
    <row r="17" ht="173" customHeight="1">
      <c r="A17" s="7" t="inlineStr">
        <is>
          <t>TC-BUILD-09</t>
        </is>
      </c>
      <c r="B17" s="7" t="inlineStr">
        <is>
          <t>Cài phụ thuộc theo đúng lockfile bằng Flutter stable của team</t>
        </is>
      </c>
      <c r="C17" s="8" t="inlineStr">
        <is>
          <t>Máy có Flutter stable bản mới nhất (Dart ≥ 3.13); frontend nhánh fix</t>
        </is>
      </c>
      <c r="D17" s="8" t="inlineStr">
        <is>
          <t>1. cd frontend/mobile
2. flutter pub get --enforce-lockfile</t>
        </is>
      </c>
      <c r="E17" s="8" t="inlineStr">
        <is>
          <t>pubspec.lock đã sửa tối thiểu (flutter_timezone 5.1.1, thêm equatable 3.0.0)</t>
        </is>
      </c>
      <c r="F17" s="8" t="inlineStr">
        <is>
          <t>Thành công, không báo lockfile cần cập nhật</t>
        </is>
      </c>
      <c r="G17" s="8" t="inlineStr"/>
      <c r="H17" s="7" t="inlineStr">
        <is>
          <t>Pending</t>
        </is>
      </c>
      <c r="I17" s="8" t="inlineStr">
        <is>
          <t>Error Guessing · manual · máy implement dùng Flutter master cũ hơn (Dart 3.12) nên không kiểm được. Bằng chứng gián tiếp: CI PR #27 (Flutter stable 3.x) chạy flutter pub get báo "Got dependencies!", không đổi phụ thuộc nào (evidence/ci-pr27.log); chưa chạy đúng --enforce-lockfile</t>
        </is>
      </c>
    </row>
    <row r="18"/>
    <row r="19"/>
    <row r="20">
      <c r="G20" s="12" t="inlineStr">
        <is>
          <t>Pass</t>
        </is>
      </c>
      <c r="H20" s="13">
        <f>COUNTIF(H9:H17,"Pass")</f>
        <v/>
      </c>
    </row>
    <row r="21">
      <c r="G21" s="12" t="inlineStr">
        <is>
          <t>Fail</t>
        </is>
      </c>
      <c r="H21" s="13">
        <f>COUNTIF(H9:H17,"Fail")</f>
        <v/>
      </c>
    </row>
    <row r="22">
      <c r="G22" s="12" t="inlineStr">
        <is>
          <t>Pending</t>
        </is>
      </c>
      <c r="H22" s="13">
        <f>COUNTIF(H9:H17,"Pending")</f>
        <v/>
      </c>
    </row>
    <row r="23">
      <c r="G23" s="12" t="inlineStr">
        <is>
          <t>Total</t>
        </is>
      </c>
      <c r="H23" s="13">
        <f>SUM(H20:H22)</f>
        <v/>
      </c>
    </row>
  </sheetData>
  <autoFilter ref="A8:I17"/>
  <conditionalFormatting sqref="H9:H17">
    <cfRule type="cellIs" priority="1" operator="equal" dxfId="0">
      <formula>"Fail"</formula>
    </cfRule>
  </conditionalFormatting>
  <dataValidations count="1">
    <dataValidation sqref="H9:H17" showDropDown="0" showInputMessage="0" showErrorMessage="0" allowBlank="0" type="list">
      <formula1>"Pass,Fail,Pending"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 width="8" customWidth="1" min="23" max="23"/>
  </cols>
  <sheetData>
    <row r="1">
      <c r="A1" s="1" t="inlineStr">
        <is>
          <t>Project Name</t>
        </is>
      </c>
      <c r="B1" s="2" t="inlineStr">
        <is>
          <t>DrugTime</t>
        </is>
      </c>
    </row>
    <row r="2">
      <c r="A2" s="1" t="inlineStr">
        <is>
          <t>Module Name</t>
        </is>
      </c>
      <c r="B2" s="2" t="inlineStr">
        <is>
          <t>Đăng nhập người dùng (LOGIN)</t>
        </is>
      </c>
    </row>
    <row r="3">
      <c r="A3" s="1" t="inlineStr">
        <is>
          <t>Created By</t>
        </is>
      </c>
      <c r="B3" s="2" t="inlineStr">
        <is>
          <t>zannguyen</t>
        </is>
      </c>
    </row>
    <row r="4">
      <c r="A4" s="1" t="inlineStr">
        <is>
          <t>Creation Date</t>
        </is>
      </c>
      <c r="B4" s="21" t="n">
        <v>46303</v>
      </c>
    </row>
    <row r="5">
      <c r="A5" s="1" t="inlineStr">
        <is>
          <t>Reviewed By</t>
        </is>
      </c>
      <c r="B5" s="2" t="inlineStr"/>
    </row>
    <row r="6">
      <c r="A6" s="1" t="inlineStr">
        <is>
          <t>Reviewed Date</t>
        </is>
      </c>
      <c r="B6" s="2" t="n"/>
    </row>
    <row r="7">
      <c r="K7" s="4" t="inlineStr">
        <is>
          <t>Equivalence Partitioning</t>
        </is>
      </c>
      <c r="Q7" s="4" t="inlineStr">
        <is>
          <t>Kết quả POST /auth/mobile/verify</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c r="W8" s="5" t="inlineStr">
        <is>
          <t>R6</t>
        </is>
      </c>
    </row>
    <row r="9" ht="156.5" customHeight="1">
      <c r="A9" s="7" t="inlineStr">
        <is>
          <t>TC-LOGIN-01</t>
        </is>
      </c>
      <c r="B9" s="7" t="inlineStr">
        <is>
          <t>Đăng nhập lại bằng email OTP với tài khoản đã có hồ sơ</t>
        </is>
      </c>
      <c r="C9" s="8" t="inlineStr">
        <is>
          <t>Tài khoản email đã đăng nhập OTP một lần và hoàn thiện hồ sơ</t>
        </is>
      </c>
      <c r="D9" s="8" t="inlineStr">
        <is>
          <t>1. Lấy mã OTP mới cho email
2. POST /auth/mobile/verify {email, token}</t>
        </is>
      </c>
      <c r="E9" s="8" t="inlineStr">
        <is>
          <t>email: it-login-&lt;ngẫu nhiên&gt;@example.com; token: mã 6 số từ Supabase</t>
        </is>
      </c>
      <c r="F9" s="8" t="inlineStr">
        <is>
          <t>200; user_id trùng lần đầu; profile_complete=true; session.session_type="mobile"; expires_in = 864000 ± 60; không có field supabase, không có refresh_token; bảng users có đúng 1 dòng cho email</t>
        </is>
      </c>
      <c r="G9" s="8" t="inlineStr">
        <is>
          <t>Đúng như mong đợi</t>
        </is>
      </c>
      <c r="H9" s="7" t="inlineStr">
        <is>
          <t>Pass</t>
        </is>
      </c>
      <c r="I9" s="8" t="inlineStr">
        <is>
          <t>AC1 · Decision Table (R6) · EP (4,6) · test_returning_email_user_same_id_profile_complete__AC1</t>
        </is>
      </c>
      <c r="K9" s="9" t="inlineStr">
        <is>
          <t>phone</t>
        </is>
      </c>
      <c r="L9" s="10" t="inlineStr">
        <is>
          <t>Số nội địa 0xxxxxxxxx
Số quốc tế +84xxxxxxxxx
Có khoảng trắng, gạch, khoảng trắng hai đầu</t>
        </is>
      </c>
      <c r="M9" s="10" t="inlineStr">
        <is>
          <t>1
2
3</t>
        </is>
      </c>
      <c r="N9" s="10" t="inlineStr">
        <is>
          <t>84… thiếu dấu +
Có ngoặc hoặc chữ
Chữ số Unicode (full-width, Ả Rập)
Khoảng trắng không ngắt ở giữa
Độ dài &lt; 9 hoặc &gt; 16 ký tự (kể cả +)
Sai kiểu JSON (số, mảng, object, bool)</t>
        </is>
      </c>
      <c r="O9" s="10" t="inlineStr">
        <is>
          <t>13
14
15
16
17
18</t>
        </is>
      </c>
      <c r="Q9" s="10" t="inlineStr">
        <is>
          <t>Định danh hợp lệ?</t>
        </is>
      </c>
      <c r="R9" s="11" t="inlineStr">
        <is>
          <t>No</t>
        </is>
      </c>
      <c r="S9" s="11" t="inlineStr">
        <is>
          <t>Yes</t>
        </is>
      </c>
      <c r="T9" s="11" t="inlineStr">
        <is>
          <t>Yes</t>
        </is>
      </c>
      <c r="U9" s="11" t="inlineStr">
        <is>
          <t>Yes</t>
        </is>
      </c>
      <c r="V9" s="11" t="inlineStr">
        <is>
          <t>Yes</t>
        </is>
      </c>
      <c r="W9" s="11" t="inlineStr">
        <is>
          <t>Yes</t>
        </is>
      </c>
    </row>
    <row r="10" ht="90.5" customHeight="1">
      <c r="A10" s="7" t="inlineStr">
        <is>
          <t>TC-LOGIN-02</t>
        </is>
      </c>
      <c r="B10" s="7" t="inlineStr">
        <is>
          <t>Đăng nhập bằng số điện thoại dạng nội địa</t>
        </is>
      </c>
      <c r="C10" s="8" t="inlineStr">
        <is>
          <t>Số thử test_otp 84900000001 = 123456 trên Supabase local</t>
        </is>
      </c>
      <c r="D10" s="8" t="inlineStr">
        <is>
          <t>1. POST /auth/mobile/verify {phone: "0900000001", token: "123456"}
2. Đọc users.phone_number của user_id trả về</t>
        </is>
      </c>
      <c r="E10" s="8" t="inlineStr">
        <is>
          <t>phone: 0900000001; token: 123456</t>
        </is>
      </c>
      <c r="F10" s="8" t="inlineStr">
        <is>
          <t>200; users.phone_number = "+84900000001"</t>
        </is>
      </c>
      <c r="G10" s="8" t="inlineStr">
        <is>
          <t>200; phone_number = +84900000001</t>
        </is>
      </c>
      <c r="H10" s="7" t="inlineStr">
        <is>
          <t>Pass</t>
        </is>
      </c>
      <c r="I10" s="8" t="inlineStr">
        <is>
          <t>AC2 · EP (1,6) · test_local_phone_format_logs_in_and_wrong_otp_401__AC2</t>
        </is>
      </c>
      <c r="K10" s="9" t="inlineStr">
        <is>
          <t>email</t>
        </is>
      </c>
      <c r="L10" s="10" t="inlineStr">
        <is>
          <t>Email chữ thường
Có chữ hoa hoặc khoảng trắng hai đầu</t>
        </is>
      </c>
      <c r="M10" s="10" t="inlineStr">
        <is>
          <t>4
5</t>
        </is>
      </c>
      <c r="N10" s="10" t="inlineStr">
        <is>
          <t>Sai định dạng (thiếu @, thiếu tên miền, nhiều @, có khoảng trắng)
Rỗng hoặc chỉ khoảng trắng (không có phone)</t>
        </is>
      </c>
      <c r="O10" s="10" t="inlineStr">
        <is>
          <t>19
20</t>
        </is>
      </c>
      <c r="Q10" s="10" t="inlineStr">
        <is>
          <t>Mã OTP đúng?</t>
        </is>
      </c>
      <c r="R10" s="11" t="inlineStr">
        <is>
          <t>-</t>
        </is>
      </c>
      <c r="S10" s="11" t="inlineStr">
        <is>
          <t>No</t>
        </is>
      </c>
      <c r="T10" s="11" t="inlineStr">
        <is>
          <t>Yes</t>
        </is>
      </c>
      <c r="U10" s="11" t="inlineStr">
        <is>
          <t>Yes</t>
        </is>
      </c>
      <c r="V10" s="11" t="inlineStr">
        <is>
          <t>Yes</t>
        </is>
      </c>
      <c r="W10" s="11" t="inlineStr">
        <is>
          <t>Yes</t>
        </is>
      </c>
    </row>
    <row r="11" ht="90.5" customHeight="1">
      <c r="A11" s="7" t="inlineStr">
        <is>
          <t>TC-LOGIN-03</t>
        </is>
      </c>
      <c r="B11" s="7" t="inlineStr">
        <is>
          <t>Xác thực số điện thoại với mã OTP sai</t>
        </is>
      </c>
      <c r="C11" s="8" t="inlineStr">
        <is>
          <t>Như TC-LOGIN-02</t>
        </is>
      </c>
      <c r="D11" s="8" t="inlineStr">
        <is>
          <t>1. POST /auth/mobile/verify {phone: "0900000001", token: "000000"}</t>
        </is>
      </c>
      <c r="E11" s="8" t="inlineStr">
        <is>
          <t>token: 000000</t>
        </is>
      </c>
      <c r="F11" s="8" t="inlineStr">
        <is>
          <t>401 {"detail":"Invalid credentials"}; không chứa msg, error_code, otp_expired của Supabase</t>
        </is>
      </c>
      <c r="G11" s="8" t="inlineStr">
        <is>
          <t>401 {"detail":"Invalid credentials"}</t>
        </is>
      </c>
      <c r="H11" s="7" t="inlineStr">
        <is>
          <t>Pass</t>
        </is>
      </c>
      <c r="I11" s="8" t="inlineStr">
        <is>
          <t>AC2 · Decision Table (R2) · EP (21) · test_local_phone_format_logs_in_and_wrong_otp_401__AC2</t>
        </is>
      </c>
      <c r="K11" s="9" t="inlineStr">
        <is>
          <t>token (OTP)</t>
        </is>
      </c>
      <c r="L11" s="10" t="inlineStr">
        <is>
          <t>Đúng mã 6 chữ số</t>
        </is>
      </c>
      <c r="M11" s="10" t="inlineStr">
        <is>
          <t>6</t>
        </is>
      </c>
      <c r="N11" s="10" t="inlineStr">
        <is>
          <t>Sai mã 6 chữ số
Rỗng
Chỉ khoảng trắng
Sai độ dài, có chữ, rất dài
Chuỗi injection/ký tự đặc biệt</t>
        </is>
      </c>
      <c r="O11" s="10" t="inlineStr">
        <is>
          <t>21
22
23
24
25</t>
        </is>
      </c>
      <c r="Q11" s="10" t="inlineStr">
        <is>
          <t>Tài khoản</t>
        </is>
      </c>
      <c r="R11" s="11" t="inlineStr">
        <is>
          <t>-</t>
        </is>
      </c>
      <c r="S11" s="11" t="inlineStr">
        <is>
          <t>-</t>
        </is>
      </c>
      <c r="T11" s="11" t="inlineStr">
        <is>
          <t>Đã xóa</t>
        </is>
      </c>
      <c r="U11" s="11" t="inlineStr">
        <is>
          <t>Admin</t>
        </is>
      </c>
      <c r="V11" s="11" t="inlineStr">
        <is>
          <t>Thường, chưa có hồ sơ</t>
        </is>
      </c>
      <c r="W11" s="11" t="inlineStr">
        <is>
          <t>Thường, đủ hồ sơ</t>
        </is>
      </c>
    </row>
    <row r="12" ht="90.5" customHeight="1">
      <c r="A12" s="7" t="inlineStr">
        <is>
          <t>TC-LOGIN-04</t>
        </is>
      </c>
      <c r="B12" s="7" t="inlineStr">
        <is>
          <t>Đăng nhập Mobile App bằng tài khoản admin</t>
        </is>
      </c>
      <c r="C12" s="8" t="inlineStr">
        <is>
          <t>Tài khoản có users.system_role = 'admin'</t>
        </is>
      </c>
      <c r="D12" s="8" t="inlineStr">
        <is>
          <t>1. Lấy mã OTP email của admin
2. POST /auth/mobile/verify {email, token}</t>
        </is>
      </c>
      <c r="E12" s="8" t="inlineStr">
        <is>
          <t>email: it-login-admin-&lt;ngẫu nhiên&gt;@example.com</t>
        </is>
      </c>
      <c r="F12" s="8" t="inlineStr">
        <is>
          <t>403 {"detail":"admin_must_use_web"}; không cấp session</t>
        </is>
      </c>
      <c r="G12" s="8" t="inlineStr">
        <is>
          <t>403 {"detail":"admin_must_use_web"}, không có session</t>
        </is>
      </c>
      <c r="H12" s="7" t="inlineStr">
        <is>
          <t>Pass</t>
        </is>
      </c>
      <c r="I12" s="8" t="inlineStr">
        <is>
          <t>AC3 · Decision Table (R4) · test_admin_account_on_mobile_forbidden__AC3</t>
        </is>
      </c>
      <c r="K12" s="9" t="inlineStr">
        <is>
          <t>ho_ten</t>
        </is>
      </c>
      <c r="L12" s="10" t="inlineStr">
        <is>
          <t>Tiếng Việt có dấu
Emoji
Chuỗi SQL/HTML/template (lưu như dữ liệu)
Dài đúng 255 ký tự</t>
        </is>
      </c>
      <c r="M12" s="10" t="inlineStr">
        <is>
          <t>7
8
9
10</t>
        </is>
      </c>
      <c r="N12" s="10" t="inlineStr">
        <is>
          <t>Rỗng hoặc chỉ khoảng trắng
Dài &gt; 255 ký tự
Có ký tự NUL</t>
        </is>
      </c>
      <c r="O12" s="10" t="inlineStr">
        <is>
          <t>26
27
28</t>
        </is>
      </c>
      <c r="Q12" s="6" t="inlineStr">
        <is>
          <t>Action</t>
        </is>
      </c>
      <c r="R12" s="5" t="inlineStr">
        <is>
          <t>R1</t>
        </is>
      </c>
      <c r="S12" s="5" t="inlineStr">
        <is>
          <t>R2</t>
        </is>
      </c>
      <c r="T12" s="5" t="inlineStr">
        <is>
          <t>R3</t>
        </is>
      </c>
      <c r="U12" s="5" t="inlineStr">
        <is>
          <t>R4</t>
        </is>
      </c>
      <c r="V12" s="5" t="inlineStr">
        <is>
          <t>R5</t>
        </is>
      </c>
      <c r="W12" s="5" t="inlineStr">
        <is>
          <t>R6</t>
        </is>
      </c>
    </row>
    <row r="13" ht="74" customHeight="1">
      <c r="A13" s="7" t="inlineStr">
        <is>
          <t>TC-LOGIN-05</t>
        </is>
      </c>
      <c r="B13" s="7" t="inlineStr">
        <is>
          <t>Dùng phiên cũ và đăng nhập lại sau khi tài khoản bị xóa</t>
        </is>
      </c>
      <c r="C13" s="8" t="inlineStr">
        <is>
          <t>User đã đăng nhập, đang giữ phiên mobile hợp lệ</t>
        </is>
      </c>
      <c r="D13" s="8" t="inlineStr">
        <is>
          <t>1. Đặt users.erased_at = now() (xóa trường định danh như SqlUsers.erase)
2. POST /auth/profile với phiên cũ
3. POST /auth/mobile/verify với mã OTP mới</t>
        </is>
      </c>
      <c r="E13" s="8" t="inlineStr">
        <is>
          <t>Phiên mobile còn hạn</t>
        </is>
      </c>
      <c r="F13" s="8" t="inlineStr">
        <is>
          <t>Cả hai request trả 401 ngay ở request kế tiếp; không cấp session</t>
        </is>
      </c>
      <c r="G13" s="8" t="inlineStr">
        <is>
          <t>401 và 401, không có session</t>
        </is>
      </c>
      <c r="H13" s="7" t="inlineStr">
        <is>
          <t>Pass</t>
        </is>
      </c>
      <c r="I13" s="8" t="inlineStr">
        <is>
          <t>AC4 · State Transition (đang có phiên → bị xóa) · Decision Table (R3) · test_erased_user_session_and_relogin_rejected__AC4</t>
        </is>
      </c>
      <c r="K13" s="9" t="inlineStr">
        <is>
          <t>ngay_sinh</t>
        </is>
      </c>
      <c r="L13" s="10" t="inlineStr">
        <is>
          <t>Từ 1900-01-01 tới hôm nay theo giờ Asia/Ho_Chi_Minh</t>
        </is>
      </c>
      <c r="M13" s="10" t="inlineStr">
        <is>
          <t>11</t>
        </is>
      </c>
      <c r="N13" s="10" t="inlineStr">
        <is>
          <t>Sau hôm nay (giờ VN)
Trước 1900-01-01
Ngày không tồn tại hoặc sai định dạng</t>
        </is>
      </c>
      <c r="O13" s="10" t="inlineStr">
        <is>
          <t>29
30
31</t>
        </is>
      </c>
      <c r="Q13" s="10" t="inlineStr">
        <is>
          <t>422 (invalid_phone / invalid_email / login_identifier_required)</t>
        </is>
      </c>
      <c r="R13" s="11" t="inlineStr">
        <is>
          <t>X</t>
        </is>
      </c>
      <c r="S13" s="11" t="inlineStr"/>
      <c r="T13" s="11" t="inlineStr"/>
      <c r="U13" s="11" t="inlineStr"/>
      <c r="V13" s="11" t="inlineStr"/>
      <c r="W13" s="11" t="inlineStr"/>
    </row>
    <row r="14" ht="74" customHeight="1">
      <c r="A14" s="7" t="inlineStr">
        <is>
          <t>TC-LOGIN-06</t>
        </is>
      </c>
      <c r="B14" s="7" t="inlineStr">
        <is>
          <t>Đăng nhập với nhiều cách viết của cùng một số điện thoại</t>
        </is>
      </c>
      <c r="C14" s="8" t="inlineStr">
        <is>
          <t>Số thử test_otp</t>
        </is>
      </c>
      <c r="D14" s="8" t="inlineStr">
        <is>
          <t>1. POST /auth/mobile/verify lần lượt với từng dạng số, token 123456
2. So user_id các lần
3. Đếm users có phone_number = +84900000001</t>
        </is>
      </c>
      <c r="E14" s="8" t="inlineStr">
        <is>
          <t>0900000001 | +84900000001 | +84 900 000 001 | 0900-000-001 | "  0900000001  "</t>
        </is>
      </c>
      <c r="F14" s="8" t="inlineStr">
        <is>
          <t>Mọi lần 200 với cùng một user_id; đúng 1 dòng users, phone_number = +84900000001</t>
        </is>
      </c>
      <c r="G14" s="8" t="inlineStr">
        <is>
          <t>5/5 lần 200, cùng user_id; 1 dòng users</t>
        </is>
      </c>
      <c r="H14" s="7" t="inlineStr">
        <is>
          <t>Pass</t>
        </is>
      </c>
      <c r="I14" s="8" t="inlineStr">
        <is>
          <t>AC5 · EP (1,2,3) · test_phone_formats_same_user__AC5</t>
        </is>
      </c>
      <c r="K14" s="9" t="inlineStr">
        <is>
          <t>gioi_tinh</t>
        </is>
      </c>
      <c r="L14" s="10" t="inlineStr">
        <is>
          <t>nam / nu / khac (không phân biệt hoa thường)</t>
        </is>
      </c>
      <c r="M14" s="10" t="inlineStr">
        <is>
          <t>12</t>
        </is>
      </c>
      <c r="N14" s="10" t="inlineStr">
        <is>
          <t>Giá trị khác, rỗng, chuỗi injection</t>
        </is>
      </c>
      <c r="O14" s="10" t="inlineStr">
        <is>
          <t>32</t>
        </is>
      </c>
      <c r="Q14" s="10" t="inlineStr">
        <is>
          <t>401 Invalid credentials / không cấp phiên</t>
        </is>
      </c>
      <c r="R14" s="11" t="inlineStr"/>
      <c r="S14" s="11" t="inlineStr">
        <is>
          <t>X</t>
        </is>
      </c>
      <c r="T14" s="11" t="inlineStr">
        <is>
          <t>X</t>
        </is>
      </c>
      <c r="U14" s="11" t="inlineStr"/>
      <c r="V14" s="11" t="inlineStr"/>
      <c r="W14" s="11" t="inlineStr"/>
    </row>
    <row r="15" ht="74" customHeight="1">
      <c r="A15" s="7" t="inlineStr">
        <is>
          <t>TC-LOGIN-07</t>
        </is>
      </c>
      <c r="B15" s="7" t="inlineStr">
        <is>
          <t>Gửi số điện thoại sai định dạng tới OTP và verify</t>
        </is>
      </c>
      <c r="C15" s="8" t="inlineStr">
        <is>
          <t>Không</t>
        </is>
      </c>
      <c r="D15" s="8" t="inlineStr">
        <is>
          <t>1. POST /auth/mobile/otp {phone}
2. POST /auth/mobile/verify {phone, token: 123456}
3. Đếm auth.users trước/sau</t>
        </is>
      </c>
      <c r="E15" s="8" t="inlineStr">
        <is>
          <t>84900000001 | (+84)900000001 | 09abc12345 | +84 900\u00a0000 001 | + | 0</t>
        </is>
      </c>
      <c r="F15" s="8" t="inlineStr">
        <is>
          <t>422 {"detail":"invalid_phone"} ở cả hai endpoint; không tạo user trên Supabase</t>
        </is>
      </c>
      <c r="G15" s="8" t="inlineStr">
        <is>
          <t>422 invalid_phone ở cả 12 request; auth.users không đổi</t>
        </is>
      </c>
      <c r="H15" s="7" t="inlineStr">
        <is>
          <t>Pass</t>
        </is>
      </c>
      <c r="I15" s="8" t="inlineStr">
        <is>
          <t>AC6 · EP (13,14,16) · test_invalid_phone_rejected_before_provider__AC6</t>
        </is>
      </c>
      <c r="Q15" s="10" t="inlineStr">
        <is>
          <t>403 admin_must_use_web</t>
        </is>
      </c>
      <c r="R15" s="11" t="inlineStr"/>
      <c r="S15" s="11" t="inlineStr"/>
      <c r="T15" s="11" t="inlineStr"/>
      <c r="U15" s="11" t="inlineStr">
        <is>
          <t>X</t>
        </is>
      </c>
      <c r="V15" s="11" t="inlineStr"/>
      <c r="W15" s="11" t="inlineStr"/>
    </row>
    <row r="16" ht="74" customHeight="1">
      <c r="A16" s="7" t="inlineStr">
        <is>
          <t>TC-LOGIN-08</t>
        </is>
      </c>
      <c r="B16" s="7" t="inlineStr">
        <is>
          <t>Gửi số điện thoại có ký tự xuống dòng ở cuối</t>
        </is>
      </c>
      <c r="C16" s="8" t="inlineStr">
        <is>
          <t>Số thử test_otp</t>
        </is>
      </c>
      <c r="D16" s="8" t="inlineStr">
        <is>
          <t>1. POST /auth/mobile/otp {phone: "0900000001\n"}
2. POST /auth/mobile/verify {phone: "0900000001\n", token: 123456}</t>
        </is>
      </c>
      <c r="E16" s="8" t="inlineStr">
        <is>
          <t>phone: 0900000001 + ký tự \n</t>
        </is>
      </c>
      <c r="F16" s="8" t="inlineStr">
        <is>
          <t>422 {"detail":"invalid_phone"} (theo AC6 của 01-requirement)</t>
        </is>
      </c>
      <c r="G16" s="8" t="inlineStr">
        <is>
          <t>OTP 204, verify 200 và cấp phiên (backend bỏ ký tự trắng hai đầu)</t>
        </is>
      </c>
      <c r="H16" s="7" t="inlineStr">
        <is>
          <t>Fail</t>
        </is>
      </c>
      <c r="I16" s="8" t="inlineStr">
        <is>
          <t>AC6 · Error Guessing · test_invalid_phone_rejected_before_provider__AC6[0900000001\n-*]</t>
        </is>
      </c>
      <c r="Q16" s="10" t="inlineStr">
        <is>
          <t>200, phiên mobile 10 ngày, profile_complete=false</t>
        </is>
      </c>
      <c r="R16" s="11" t="inlineStr"/>
      <c r="S16" s="11" t="inlineStr"/>
      <c r="T16" s="11" t="inlineStr"/>
      <c r="U16" s="11" t="inlineStr"/>
      <c r="V16" s="11" t="inlineStr">
        <is>
          <t>X</t>
        </is>
      </c>
      <c r="W16" s="11" t="inlineStr"/>
    </row>
    <row r="17" ht="57.5" customHeight="1">
      <c r="A17" s="7" t="inlineStr">
        <is>
          <t>TC-LOGIN-09</t>
        </is>
      </c>
      <c r="B17" s="7" t="inlineStr">
        <is>
          <t>Gửi số điện thoại ngay ngoài giới hạn độ dài</t>
        </is>
      </c>
      <c r="C17" s="8" t="inlineStr">
        <is>
          <t>Không</t>
        </is>
      </c>
      <c r="D17" s="8" t="inlineStr">
        <is>
          <t>1. POST /auth/mobile/otp và /auth/mobile/verify với từng số</t>
        </is>
      </c>
      <c r="E17" s="8" t="inlineStr">
        <is>
          <t>+8490000 (8 ký tự) | +8490000000000000 (17 ký tự)</t>
        </is>
      </c>
      <c r="F17" s="8" t="inlineStr">
        <is>
          <t>422 {"detail":"invalid_phone"}</t>
        </is>
      </c>
      <c r="G17" s="8" t="inlineStr">
        <is>
          <t>422 invalid_phone</t>
        </is>
      </c>
      <c r="H17" s="7" t="inlineStr">
        <is>
          <t>Pass</t>
        </is>
      </c>
      <c r="I17" s="8" t="inlineStr">
        <is>
          <t>AC6 · BVA (min-1, max+1) · EP (17) · test_invalid_phone_rejected_before_provider__AC6</t>
        </is>
      </c>
      <c r="Q17" s="10" t="inlineStr">
        <is>
          <t>200, phiên mobile 10 ngày, profile_complete=true</t>
        </is>
      </c>
      <c r="R17" s="11" t="inlineStr"/>
      <c r="S17" s="11" t="inlineStr"/>
      <c r="T17" s="11" t="inlineStr"/>
      <c r="U17" s="11" t="inlineStr"/>
      <c r="V17" s="11" t="inlineStr"/>
      <c r="W17" s="11" t="inlineStr">
        <is>
          <t>X</t>
        </is>
      </c>
    </row>
    <row r="18" ht="57.5" customHeight="1">
      <c r="A18" s="7" t="inlineStr">
        <is>
          <t>TC-LOGIN-10</t>
        </is>
      </c>
      <c r="B18" s="7" t="inlineStr">
        <is>
          <t>Gửi số điện thoại đúng giới hạn độ dài</t>
        </is>
      </c>
      <c r="C18" s="8" t="inlineStr">
        <is>
          <t>Không</t>
        </is>
      </c>
      <c r="D18" s="8" t="inlineStr">
        <is>
          <t>1. POST /auth/mobile/otp {phone}
2. POST /auth/mobile/verify {phone, token: 123456}</t>
        </is>
      </c>
      <c r="E18" s="8" t="inlineStr">
        <is>
          <t>+84900000 (9 ký tự) | +849000000000000 (16 ký tự)</t>
        </is>
      </c>
      <c r="F18" s="8" t="inlineStr">
        <is>
          <t>Không bị backend trả invalid_phone; không 5xx ngoài 503; không lộ nội dung Supabase</t>
        </is>
      </c>
      <c r="G18" s="8" t="inlineStr">
        <is>
          <t>Không có invalid_phone; mã trạng thái &lt; 500 hoặc 503; không lộ nội dung</t>
        </is>
      </c>
      <c r="H18" s="7" t="inlineStr">
        <is>
          <t>Pass</t>
        </is>
      </c>
      <c r="I18" s="8" t="inlineStr">
        <is>
          <t>AC6 · BVA (min, max) · EP (2) · test_phone_length_boundaries_accepted_by_backend__AC6</t>
        </is>
      </c>
    </row>
    <row r="19" ht="57.5" customHeight="1">
      <c r="A19" s="7" t="inlineStr">
        <is>
          <t>TC-LOGIN-11</t>
        </is>
      </c>
      <c r="B19" s="7" t="inlineStr">
        <is>
          <t>Gửi số điện thoại viết bằng chữ số Unicode</t>
        </is>
      </c>
      <c r="C19" s="8" t="inlineStr">
        <is>
          <t>Không</t>
        </is>
      </c>
      <c r="D19" s="8" t="inlineStr">
        <is>
          <t>1. POST /auth/mobile/otp {phone}
2. POST /auth/mobile/verify {phone, token: 123456}</t>
        </is>
      </c>
      <c r="E19" s="8" t="inlineStr">
        <is>
          <t>+８４９０００００００１ (full-width) | +٨٤٩٠٠٠٠٠٠٠١ (chữ số Ả Rập)</t>
        </is>
      </c>
      <c r="F19" s="8" t="inlineStr">
        <is>
          <t>422 {"detail":"invalid_phone"}, không gọi Supabase</t>
        </is>
      </c>
      <c r="G19" s="8" t="inlineStr">
        <is>
          <t>OTP 503 {"detail":"auth_provider_unavailable"}, verify 401 {"detail":"Invalid credentials"} — request đã tới Supabase</t>
        </is>
      </c>
      <c r="H19" s="7" t="inlineStr">
        <is>
          <t>Fail</t>
        </is>
      </c>
      <c r="I19" s="8" t="inlineStr">
        <is>
          <t>AC7 · EP (15) · test_unicode_digit_phone_rejected__AC7</t>
        </is>
      </c>
    </row>
    <row r="20" ht="90.5" customHeight="1">
      <c r="A20" s="7" t="inlineStr">
        <is>
          <t>TC-LOGIN-12</t>
        </is>
      </c>
      <c r="B20" s="7" t="inlineStr">
        <is>
          <t>Đăng nhập email với chữ hoa và khoảng trắng hai đầu</t>
        </is>
      </c>
      <c r="C20" s="8" t="inlineStr">
        <is>
          <t>Tài khoản email chữ thường user.test+&lt;tag&gt;@example.com</t>
        </is>
      </c>
      <c r="D20" s="8" t="inlineStr">
        <is>
          <t>1. POST /auth/mobile/verify {email: "User.Test+&lt;tag&gt;@Example.COM", token}
2. POST /auth/mobile/verify {email: "  user.test+&lt;tag&gt;@example.com  ", token mới}
3. Đọc users.email</t>
        </is>
      </c>
      <c r="E20" s="8" t="inlineStr">
        <is>
          <t>Hai cách viết của cùng email</t>
        </is>
      </c>
      <c r="F20" s="8" t="inlineStr">
        <is>
          <t>Cả hai 200, cùng user_id; users.email lưu chữ thường</t>
        </is>
      </c>
      <c r="G20" s="8" t="inlineStr">
        <is>
          <t>200, 200, cùng user_id; email chữ thường</t>
        </is>
      </c>
      <c r="H20" s="7" t="inlineStr">
        <is>
          <t>Pass</t>
        </is>
      </c>
      <c r="I20" s="8" t="inlineStr">
        <is>
          <t>AC8 · EP (4,5) · test_email_case_and_spaces_same_user__AC8</t>
        </is>
      </c>
    </row>
    <row r="21" ht="57.5" customHeight="1">
      <c r="A21" s="7" t="inlineStr">
        <is>
          <t>TC-LOGIN-13</t>
        </is>
      </c>
      <c r="B21" s="7" t="inlineStr">
        <is>
          <t>Gửi email sai định dạng tới OTP và verify</t>
        </is>
      </c>
      <c r="C21" s="8" t="inlineStr">
        <is>
          <t>Không</t>
        </is>
      </c>
      <c r="D21" s="8" t="inlineStr">
        <is>
          <t>1. POST /auth/mobile/otp {email}
2. POST /auth/mobile/verify {email, token: 123456}</t>
        </is>
      </c>
      <c r="E21" s="8" t="inlineStr">
        <is>
          <t>abc | a@b | a@@b.com | a b@c.com | @example.com | a@example.</t>
        </is>
      </c>
      <c r="F21" s="8" t="inlineStr">
        <is>
          <t>422 {"detail":"invalid_email"}</t>
        </is>
      </c>
      <c r="G21" s="8" t="inlineStr">
        <is>
          <t>422 invalid_email ở cả 12 request</t>
        </is>
      </c>
      <c r="H21" s="7" t="inlineStr">
        <is>
          <t>Pass</t>
        </is>
      </c>
      <c r="I21" s="8" t="inlineStr">
        <is>
          <t>AC8 · EP (19) · test_invalid_email_rejected__AC8</t>
        </is>
      </c>
    </row>
    <row r="22" ht="57.5" customHeight="1">
      <c r="A22" s="7" t="inlineStr">
        <is>
          <t>TC-LOGIN-14</t>
        </is>
      </c>
      <c r="B22" s="7" t="inlineStr">
        <is>
          <t>Gửi email rỗng hoặc chỉ khoảng trắng, không có số điện thoại</t>
        </is>
      </c>
      <c r="C22" s="8" t="inlineStr">
        <is>
          <t>Không</t>
        </is>
      </c>
      <c r="D22" s="8" t="inlineStr">
        <is>
          <t>1. POST /auth/mobile/otp {email}
2. POST /auth/mobile/verify {email, token: 123456}</t>
        </is>
      </c>
      <c r="E22" s="8" t="inlineStr">
        <is>
          <t>(blank) | "   "</t>
        </is>
      </c>
      <c r="F22" s="8" t="inlineStr">
        <is>
          <t>422 {"detail":"login_identifier_required"}</t>
        </is>
      </c>
      <c r="G22" s="8" t="inlineStr">
        <is>
          <t>422 login_identifier_required</t>
        </is>
      </c>
      <c r="H22" s="7" t="inlineStr">
        <is>
          <t>Pass</t>
        </is>
      </c>
      <c r="I22" s="8" t="inlineStr">
        <is>
          <t>AC8 · EP (20) · Decision Table (R1) · test_invalid_email_rejected__AC8</t>
        </is>
      </c>
    </row>
    <row r="23" ht="41" customHeight="1">
      <c r="A23" s="7" t="inlineStr">
        <is>
          <t>TC-LOGIN-15</t>
        </is>
      </c>
      <c r="B23" s="7" t="inlineStr">
        <is>
          <t>Gửi email rất dài và email có dấu tiếng Việt</t>
        </is>
      </c>
      <c r="C23" s="8" t="inlineStr">
        <is>
          <t>Không</t>
        </is>
      </c>
      <c r="D23" s="8" t="inlineStr">
        <is>
          <t>1. POST /auth/mobile/otp {email}</t>
        </is>
      </c>
      <c r="E23" s="8" t="inlineStr">
        <is>
          <t>a*300@example.com (312 ký tự) | nguyễn@example.com</t>
        </is>
      </c>
      <c r="F23" s="8" t="inlineStr">
        <is>
          <t>Không 5xx ngoài 503; không lộ nội dung Supabase</t>
        </is>
      </c>
      <c r="G23" s="8" t="inlineStr">
        <is>
          <t>Mã &lt; 500 hoặc 503; không lộ nội dung</t>
        </is>
      </c>
      <c r="H23" s="7" t="inlineStr">
        <is>
          <t>Pass</t>
        </is>
      </c>
      <c r="I23" s="8" t="inlineStr">
        <is>
          <t>AC8 · Error Guessing · test_long_and_unicode_email_no_5xx__AC8</t>
        </is>
      </c>
    </row>
    <row r="24" ht="41" customHeight="1">
      <c r="A24" s="7" t="inlineStr">
        <is>
          <t>TC-LOGIN-16</t>
        </is>
      </c>
      <c r="B24" s="7" t="inlineStr">
        <is>
          <t>Xác thực với mã OTP rỗng</t>
        </is>
      </c>
      <c r="C24" s="8" t="inlineStr">
        <is>
          <t>Tài khoản email mới</t>
        </is>
      </c>
      <c r="D24" s="8" t="inlineStr">
        <is>
          <t>1. POST /auth/mobile/verify {email, token: ""}</t>
        </is>
      </c>
      <c r="E24" s="8" t="inlineStr">
        <is>
          <t>token: (blank)</t>
        </is>
      </c>
      <c r="F24" s="8" t="inlineStr">
        <is>
          <t>422</t>
        </is>
      </c>
      <c r="G24" s="8" t="inlineStr">
        <is>
          <t>422</t>
        </is>
      </c>
      <c r="H24" s="7" t="inlineStr">
        <is>
          <t>Pass</t>
        </is>
      </c>
      <c r="I24" s="8" t="inlineStr">
        <is>
          <t>AC9 · EP (22) · test_empty_token_422__AC9</t>
        </is>
      </c>
    </row>
    <row r="25" ht="57.5" customHeight="1">
      <c r="A25" s="7" t="inlineStr">
        <is>
          <t>TC-LOGIN-17</t>
        </is>
      </c>
      <c r="B25" s="7" t="inlineStr">
        <is>
          <t>Xác thực với mã OTP chỉ có khoảng trắng</t>
        </is>
      </c>
      <c r="C25" s="8" t="inlineStr">
        <is>
          <t>Tài khoản email mới, chưa có dòng users</t>
        </is>
      </c>
      <c r="D25" s="8" t="inlineStr">
        <is>
          <t>1. POST /auth/mobile/verify {email, token: "   "}
2. Đếm users theo email</t>
        </is>
      </c>
      <c r="E25" s="8" t="inlineStr">
        <is>
          <t>token: "   "</t>
        </is>
      </c>
      <c r="F25" s="8" t="inlineStr">
        <is>
          <t>401; không tạo dòng users</t>
        </is>
      </c>
      <c r="G25" s="8" t="inlineStr">
        <is>
          <t>401; 0 dòng users</t>
        </is>
      </c>
      <c r="H25" s="7" t="inlineStr">
        <is>
          <t>Pass</t>
        </is>
      </c>
      <c r="I25" s="8" t="inlineStr">
        <is>
          <t>AC9 · EP (23) · test_blank_token_401_no_user__AC9</t>
        </is>
      </c>
    </row>
    <row r="26" ht="57.5" customHeight="1">
      <c r="A26" s="7" t="inlineStr">
        <is>
          <t>TC-LOGIN-18</t>
        </is>
      </c>
      <c r="B26" s="7" t="inlineStr">
        <is>
          <t>Xác thực với mã OTP sai độ dài, có chữ hoặc rất dài</t>
        </is>
      </c>
      <c r="C26" s="8" t="inlineStr">
        <is>
          <t>Tài khoản email mới, chưa có dòng users</t>
        </is>
      </c>
      <c r="D26" s="8" t="inlineStr">
        <is>
          <t>1. POST /auth/mobile/verify {email, token} cho từng giá trị</t>
        </is>
      </c>
      <c r="E26" s="8" t="inlineStr">
        <is>
          <t>12345 | 1234567 | abcdef | "1"*1000</t>
        </is>
      </c>
      <c r="F26" s="8" t="inlineStr">
        <is>
          <t>401 hoặc 422; không 5xx; không lộ nội dung; không tạo dòng users</t>
        </is>
      </c>
      <c r="G26" s="8" t="inlineStr">
        <is>
          <t>401/422; không 5xx; 0 dòng users</t>
        </is>
      </c>
      <c r="H26" s="7" t="inlineStr">
        <is>
          <t>Pass</t>
        </is>
      </c>
      <c r="I26" s="8" t="inlineStr">
        <is>
          <t>AC9 · BVA (min-1, max+1) · EP (24) · test_malformed_tokens_no_5xx__AC9</t>
        </is>
      </c>
    </row>
    <row r="27" ht="90.5" customHeight="1">
      <c r="A27" s="7" t="inlineStr">
        <is>
          <t>TC-LOGIN-19</t>
        </is>
      </c>
      <c r="B27" s="7" t="inlineStr">
        <is>
          <t>Gửi trường sai kiểu JSON</t>
        </is>
      </c>
      <c r="C27" s="8" t="inlineStr">
        <is>
          <t>Phiên mobile hợp lệ cho /auth/profile</t>
        </is>
      </c>
      <c r="D27" s="8" t="inlineStr">
        <is>
          <t>1. POST /auth/mobile/otp với phone/email là số, mảng, object, true
2. POST /auth/mobile/verify với token sai kiểu
3. POST /auth/profile với ho_ten/gioi_tinh sai kiểu</t>
        </is>
      </c>
      <c r="E27" s="8" t="inlineStr">
        <is>
          <t>900000001 | ["0900000001"] | {"v": "0900000001"} | true</t>
        </is>
      </c>
      <c r="F27" s="8" t="inlineStr">
        <is>
          <t>4xx (422); không 5xx; không lộ chi tiết nội bộ</t>
        </is>
      </c>
      <c r="G27" s="8" t="inlineStr">
        <is>
          <t>422 ở cả 20 request</t>
        </is>
      </c>
      <c r="H27" s="7" t="inlineStr">
        <is>
          <t>Pass</t>
        </is>
      </c>
      <c r="I27" s="8" t="inlineStr">
        <is>
          <t>AC10 · EP (18) · test_wrong_json_types_no_5xx__AC10</t>
        </is>
      </c>
    </row>
    <row r="28" ht="41" customHeight="1">
      <c r="A28" s="7" t="inlineStr">
        <is>
          <t>TC-LOGIN-20</t>
        </is>
      </c>
      <c r="B28" s="7" t="inlineStr">
        <is>
          <t>Gửi body hỏng, rỗng hoặc sai Content-Type</t>
        </is>
      </c>
      <c r="C28" s="8" t="inlineStr">
        <is>
          <t>Phiên mobile hợp lệ cho /auth/profile</t>
        </is>
      </c>
      <c r="D28" s="8" t="inlineStr">
        <is>
          <t>1. POST tới /auth/mobile/otp, /auth/mobile/verify, /auth/profile với từng loại body</t>
        </is>
      </c>
      <c r="E28" s="8" t="inlineStr">
        <is>
          <t>"{not json" | (blank) | text/plain "phone=0900000001"</t>
        </is>
      </c>
      <c r="F28" s="8" t="inlineStr">
        <is>
          <t>4xx; không 5xx</t>
        </is>
      </c>
      <c r="G28" s="8" t="inlineStr">
        <is>
          <t>422 ở cả 9 request</t>
        </is>
      </c>
      <c r="H28" s="7" t="inlineStr">
        <is>
          <t>Pass</t>
        </is>
      </c>
      <c r="I28" s="8" t="inlineStr">
        <is>
          <t>AC10 · Error Guessing · test_malformed_body_no_5xx__AC10</t>
        </is>
      </c>
    </row>
    <row r="29" ht="90.5" customHeight="1">
      <c r="A29" s="7" t="inlineStr">
        <is>
          <t>TC-LOGIN-21</t>
        </is>
      </c>
      <c r="B29" s="7" t="inlineStr">
        <is>
          <t>Gửi field thừa để leo quyền hoặc ghi vào user khác</t>
        </is>
      </c>
      <c r="C29" s="8" t="inlineStr">
        <is>
          <t>Tài khoản email mới; một user khác B chưa có hồ sơ</t>
        </is>
      </c>
      <c r="D29" s="8" t="inlineStr">
        <is>
          <t>1. POST /auth/mobile/verify {email, token, system_role: "admin", user_id: &lt;B&gt;}
2. POST /auth/profile (phiên vừa cấp) {hồ sơ hợp lệ, user_id: &lt;B&gt;, system_role: "admin"}
3. Đọc users của mình và của B</t>
        </is>
      </c>
      <c r="E29" s="8" t="inlineStr">
        <is>
          <t>system_role: admin; user_id: id của B</t>
        </is>
      </c>
      <c r="F29" s="8" t="inlineStr">
        <is>
          <t>Verify 200 với user_id của chính mình; profile 204; system_role vẫn 'user'; hồ sơ chỉ ghi vào mình, B không đổi</t>
        </is>
      </c>
      <c r="G29" s="8" t="inlineStr">
        <is>
          <t>Đúng như mong đợi</t>
        </is>
      </c>
      <c r="H29" s="7" t="inlineStr">
        <is>
          <t>Pass</t>
        </is>
      </c>
      <c r="I29" s="8" t="inlineStr">
        <is>
          <t>AC10 · Error Guessing (leo quyền) · test_extra_fields_have_no_effect__AC10</t>
        </is>
      </c>
    </row>
    <row r="30" ht="90.5" customHeight="1">
      <c r="A30" s="7" t="inlineStr">
        <is>
          <t>TC-LOGIN-22</t>
        </is>
      </c>
      <c r="B30" s="7" t="inlineStr">
        <is>
          <t>Gửi chuỗi SQL injection và chuỗi độc hại vào số điện thoại và email</t>
        </is>
      </c>
      <c r="C30" s="8" t="inlineStr">
        <is>
          <t>Không</t>
        </is>
      </c>
      <c r="D30" s="8" t="inlineStr">
        <is>
          <t>1. POST /auth/mobile/otp {phone: &lt;chuỗi&gt;}
2. POST /auth/mobile/otp {email: &lt;chuỗi&gt;}
3. Đo thời gian phản hồi; kiểm bảng users</t>
        </is>
      </c>
      <c r="E30" s="8" t="inlineStr">
        <is>
          <t>' OR '1'='1 | admin'-- | '); DROP TABLE users;-- | 1; SELECT pg_sleep(5)-- | &lt;script&gt;alert(1)&lt;/script&gt; | ${7*7} | abc\u0000def</t>
        </is>
      </c>
      <c r="F30" s="8" t="inlineStr">
        <is>
          <t>422; &lt; 3 giây; không có Traceback, psycopg, sqlalchemy, syntax error trong phản hồi; bảng users còn và số dòng không đổi</t>
        </is>
      </c>
      <c r="G30" s="8" t="inlineStr">
        <is>
          <t>422 ở cả 14 request, &lt; 3 giây, không lộ; users còn, số dòng không đổi</t>
        </is>
      </c>
      <c r="H30" s="7" t="inlineStr">
        <is>
          <t>Pass</t>
        </is>
      </c>
      <c r="I30" s="8" t="inlineStr">
        <is>
          <t>AC11 · Error Guessing (bảo mật) · test_injection_in_identifier_rejected_no_leak__AC11, test_injection_group_leaves_users_table_intact__AC11</t>
        </is>
      </c>
    </row>
    <row r="31" ht="41" customHeight="1">
      <c r="A31" s="7" t="inlineStr">
        <is>
          <t>TC-LOGIN-23</t>
        </is>
      </c>
      <c r="B31" s="7" t="inlineStr">
        <is>
          <t>Gửi chuỗi injection làm mã OTP</t>
        </is>
      </c>
      <c r="C31" s="8" t="inlineStr">
        <is>
          <t>Tài khoản email mới, chưa có dòng users</t>
        </is>
      </c>
      <c r="D31" s="8" t="inlineStr">
        <is>
          <t>1. POST /auth/mobile/verify {email, token: &lt;chuỗi&gt;}</t>
        </is>
      </c>
      <c r="E31" s="8" t="inlineStr">
        <is>
          <t>7 chuỗi như TC-LOGIN-22</t>
        </is>
      </c>
      <c r="F31" s="8" t="inlineStr">
        <is>
          <t>401 hoặc 422; không 5xx; không lộ; không tạo dòng users</t>
        </is>
      </c>
      <c r="G31" s="8" t="inlineStr">
        <is>
          <t>401/422 ở cả 7 request; không lộ; 0 dòng users</t>
        </is>
      </c>
      <c r="H31" s="7" t="inlineStr">
        <is>
          <t>Pass</t>
        </is>
      </c>
      <c r="I31" s="8" t="inlineStr">
        <is>
          <t>AC11 · EP (25) · test_injection_in_token_no_5xx_no_leak__AC11</t>
        </is>
      </c>
    </row>
    <row r="32" ht="57.5" customHeight="1">
      <c r="A32" s="7" t="inlineStr">
        <is>
          <t>TC-LOGIN-24</t>
        </is>
      </c>
      <c r="B32" s="7" t="inlineStr">
        <is>
          <t>Lưu họ tên là chuỗi SQL/HTML/template</t>
        </is>
      </c>
      <c r="C32" s="8" t="inlineStr">
        <is>
          <t>User có phiên mobile, chưa có hồ sơ</t>
        </is>
      </c>
      <c r="D32" s="8" t="inlineStr">
        <is>
          <t>1. POST /auth/profile {ho_ten: &lt;chuỗi&gt;, ngày sinh, giới tính hợp lệ}
2. Đọc users.full_name</t>
        </is>
      </c>
      <c r="E32" s="8" t="inlineStr">
        <is>
          <t>6 chuỗi đầu của TC-LOGIN-22 (không có NUL)</t>
        </is>
      </c>
      <c r="F32" s="8" t="inlineStr">
        <is>
          <t>204; full_name lưu nguyên văn chuỗi; &lt; 3 giây; bảng users còn</t>
        </is>
      </c>
      <c r="G32" s="8" t="inlineStr">
        <is>
          <t>204; lưu nguyên văn cả 6 chuỗi</t>
        </is>
      </c>
      <c r="H32" s="7" t="inlineStr">
        <is>
          <t>Pass</t>
        </is>
      </c>
      <c r="I32" s="8" t="inlineStr">
        <is>
          <t>AC11 · EP (9) · test_injection_in_full_name_stored_verbatim__AC11</t>
        </is>
      </c>
    </row>
    <row r="33" ht="57.5" customHeight="1">
      <c r="A33" s="7" t="inlineStr">
        <is>
          <t>TC-LOGIN-25</t>
        </is>
      </c>
      <c r="B33" s="7" t="inlineStr">
        <is>
          <t>Lưu họ tên có ký tự NUL</t>
        </is>
      </c>
      <c r="C33" s="8" t="inlineStr">
        <is>
          <t>User có phiên mobile, chưa có hồ sơ</t>
        </is>
      </c>
      <c r="D33" s="8" t="inlineStr">
        <is>
          <t>1. POST /auth/profile {ho_ten: "abc\u0000def", ngày sinh, giới tính hợp lệ}</t>
        </is>
      </c>
      <c r="E33" s="8" t="inlineStr">
        <is>
          <t>ho_ten: abc\u0000def</t>
        </is>
      </c>
      <c r="F33" s="8" t="inlineStr">
        <is>
          <t>Không 5xx (từ chối 422 hoặc lưu được); không lộ chi tiết nội bộ</t>
        </is>
      </c>
      <c r="G33" s="8" t="inlineStr">
        <is>
          <t>500 Internal Server Error</t>
        </is>
      </c>
      <c r="H33" s="7" t="inlineStr">
        <is>
          <t>Fail</t>
        </is>
      </c>
      <c r="I33" s="8" t="inlineStr">
        <is>
          <t>AC11 · EP (28) · Error Guessing · test_injection_in_full_name_stored_verbatim__AC11[nul]</t>
        </is>
      </c>
    </row>
    <row r="34" ht="41" customHeight="1">
      <c r="A34" s="7" t="inlineStr">
        <is>
          <t>TC-LOGIN-26</t>
        </is>
      </c>
      <c r="B34" s="7" t="inlineStr">
        <is>
          <t>Gửi chuỗi injection làm giới tính</t>
        </is>
      </c>
      <c r="C34" s="8" t="inlineStr">
        <is>
          <t>User có phiên mobile, chưa có hồ sơ</t>
        </is>
      </c>
      <c r="D34" s="8" t="inlineStr">
        <is>
          <t>1. POST /auth/profile {gioi_tinh: &lt;chuỗi&gt;}</t>
        </is>
      </c>
      <c r="E34" s="8" t="inlineStr">
        <is>
          <t>7 chuỗi như TC-LOGIN-22</t>
        </is>
      </c>
      <c r="F34" s="8" t="inlineStr">
        <is>
          <t>422 {"detail":"invalid_gender"}; hồ sơ không đổi</t>
        </is>
      </c>
      <c r="G34" s="8" t="inlineStr">
        <is>
          <t>422 invalid_gender; full_name vẫn NULL</t>
        </is>
      </c>
      <c r="H34" s="7" t="inlineStr">
        <is>
          <t>Pass</t>
        </is>
      </c>
      <c r="I34" s="8" t="inlineStr">
        <is>
          <t>AC11 · EP (32) · test_injection_in_gender_rejected__AC11</t>
        </is>
      </c>
    </row>
    <row r="35" ht="41" customHeight="1">
      <c r="A35" s="7" t="inlineStr">
        <is>
          <t>TC-LOGIN-27</t>
        </is>
      </c>
      <c r="B35" s="7" t="inlineStr">
        <is>
          <t>Lưu họ tên tiếng Việt có dấu và có emoji</t>
        </is>
      </c>
      <c r="C35" s="8" t="inlineStr">
        <is>
          <t>User có phiên mobile, chưa có hồ sơ</t>
        </is>
      </c>
      <c r="D35" s="8" t="inlineStr">
        <is>
          <t>1. POST /auth/profile {ho_ten}
2. Đọc users.full_name</t>
        </is>
      </c>
      <c r="E35" s="8" t="inlineStr">
        <is>
          <t>Nguyễn Văn Ấn | Bà Lan 👵🏻💊</t>
        </is>
      </c>
      <c r="F35" s="8" t="inlineStr">
        <is>
          <t>204; lưu đúng nguyên văn</t>
        </is>
      </c>
      <c r="G35" s="8" t="inlineStr">
        <is>
          <t>204; lưu đúng</t>
        </is>
      </c>
      <c r="H35" s="7" t="inlineStr">
        <is>
          <t>Pass</t>
        </is>
      </c>
      <c r="I35" s="8" t="inlineStr">
        <is>
          <t>AC12 · EP (7,8) · test_profile_valid_classes_saved__AC12</t>
        </is>
      </c>
    </row>
    <row r="36" ht="41" customHeight="1">
      <c r="A36" s="7" t="inlineStr">
        <is>
          <t>TC-LOGIN-28</t>
        </is>
      </c>
      <c r="B36" s="7" t="inlineStr">
        <is>
          <t>Lưu giới tính viết hoa</t>
        </is>
      </c>
      <c r="C36" s="8" t="inlineStr">
        <is>
          <t>User có phiên mobile, chưa có hồ sơ</t>
        </is>
      </c>
      <c r="D36" s="8" t="inlineStr">
        <is>
          <t>1. POST /auth/profile {gioi_tinh: "NAM"}
2. Đọc users.gender</t>
        </is>
      </c>
      <c r="E36" s="8" t="inlineStr">
        <is>
          <t>gioi_tinh: NAM</t>
        </is>
      </c>
      <c r="F36" s="8" t="inlineStr">
        <is>
          <t>204; gender = 'nam'</t>
        </is>
      </c>
      <c r="G36" s="8" t="inlineStr">
        <is>
          <t>204; gender = nam</t>
        </is>
      </c>
      <c r="H36" s="7" t="inlineStr">
        <is>
          <t>Pass</t>
        </is>
      </c>
      <c r="I36" s="8" t="inlineStr">
        <is>
          <t>AC12 · EP (12) · test_profile_valid_classes_saved__AC12</t>
        </is>
      </c>
    </row>
    <row r="37" ht="57.5" customHeight="1">
      <c r="A37" s="7" t="inlineStr">
        <is>
          <t>TC-LOGIN-29</t>
        </is>
      </c>
      <c r="B37" s="7" t="inlineStr">
        <is>
          <t>Lưu họ tên dài đúng 255 ký tự</t>
        </is>
      </c>
      <c r="C37" s="8" t="inlineStr">
        <is>
          <t>User có phiên mobile, chưa có hồ sơ</t>
        </is>
      </c>
      <c r="D37" s="8" t="inlineStr">
        <is>
          <t>1. POST /auth/profile {ho_ten: A*255}</t>
        </is>
      </c>
      <c r="E37" s="8" t="inlineStr">
        <is>
          <t>A*255</t>
        </is>
      </c>
      <c r="F37" s="8" t="inlineStr">
        <is>
          <t>204; lưu đủ 255 ký tự</t>
        </is>
      </c>
      <c r="G37" s="8" t="inlineStr">
        <is>
          <t>204; lưu đủ</t>
        </is>
      </c>
      <c r="H37" s="7" t="inlineStr">
        <is>
          <t>Pass</t>
        </is>
      </c>
      <c r="I37" s="8" t="inlineStr">
        <is>
          <t>AC12 · BVA (max) · EP (10) · test_profile_valid_classes_saved__AC12</t>
        </is>
      </c>
    </row>
    <row r="38" ht="57.5" customHeight="1">
      <c r="A38" s="7" t="inlineStr">
        <is>
          <t>TC-LOGIN-30</t>
        </is>
      </c>
      <c r="B38" s="7" t="inlineStr">
        <is>
          <t>Lưu họ tên dài 256 ký tự</t>
        </is>
      </c>
      <c r="C38" s="8" t="inlineStr">
        <is>
          <t>User có phiên mobile, chưa có hồ sơ</t>
        </is>
      </c>
      <c r="D38" s="8" t="inlineStr">
        <is>
          <t>1. POST /auth/profile {ho_ten: A*256}</t>
        </is>
      </c>
      <c r="E38" s="8" t="inlineStr">
        <is>
          <t>A*256</t>
        </is>
      </c>
      <c r="F38" s="8" t="inlineStr">
        <is>
          <t>422; hồ sơ không đổi (giới hạn 255 theo Q4 của 01-requirement)</t>
        </is>
      </c>
      <c r="G38" s="8" t="inlineStr">
        <is>
          <t>204, đã lưu</t>
        </is>
      </c>
      <c r="H38" s="7" t="inlineStr">
        <is>
          <t>Fail</t>
        </is>
      </c>
      <c r="I38" s="8" t="inlineStr">
        <is>
          <t>AC12 · BVA (max+1) · EP (27) · test_profile_limits_255_and_1900__AC12[ten-256]</t>
        </is>
      </c>
    </row>
    <row r="39" ht="57.5" customHeight="1">
      <c r="A39" s="7" t="inlineStr">
        <is>
          <t>TC-LOGIN-31</t>
        </is>
      </c>
      <c r="B39" s="7" t="inlineStr">
        <is>
          <t>Lưu ngày sinh 1900-01-01</t>
        </is>
      </c>
      <c r="C39" s="8" t="inlineStr">
        <is>
          <t>User có phiên mobile, chưa có hồ sơ</t>
        </is>
      </c>
      <c r="D39" s="8" t="inlineStr">
        <is>
          <t>1. POST /auth/profile {ngay_sinh: "1900-01-01"}</t>
        </is>
      </c>
      <c r="E39" s="8" t="inlineStr">
        <is>
          <t>1900-01-01</t>
        </is>
      </c>
      <c r="F39" s="8" t="inlineStr">
        <is>
          <t>204; date_of_birth = 1900-01-01</t>
        </is>
      </c>
      <c r="G39" s="8" t="inlineStr">
        <is>
          <t>204; lưu đúng</t>
        </is>
      </c>
      <c r="H39" s="7" t="inlineStr">
        <is>
          <t>Pass</t>
        </is>
      </c>
      <c r="I39" s="8" t="inlineStr">
        <is>
          <t>AC12 · BVA (min) · EP (11) · test_profile_valid_classes_saved__AC12</t>
        </is>
      </c>
    </row>
    <row r="40" ht="74" customHeight="1">
      <c r="A40" s="7" t="inlineStr">
        <is>
          <t>TC-LOGIN-32</t>
        </is>
      </c>
      <c r="B40" s="7" t="inlineStr">
        <is>
          <t>Lưu ngày sinh trước 1900-01-01</t>
        </is>
      </c>
      <c r="C40" s="8" t="inlineStr">
        <is>
          <t>User có phiên mobile, chưa có hồ sơ</t>
        </is>
      </c>
      <c r="D40" s="8" t="inlineStr">
        <is>
          <t>1. POST /auth/profile {ngay_sinh}</t>
        </is>
      </c>
      <c r="E40" s="8" t="inlineStr">
        <is>
          <t>1899-12-31 | 0001-01-01</t>
        </is>
      </c>
      <c r="F40" s="8" t="inlineStr">
        <is>
          <t>422; hồ sơ không đổi (cận dưới 1900-01-01 theo Q4)</t>
        </is>
      </c>
      <c r="G40" s="8" t="inlineStr">
        <is>
          <t>204 ở cả hai giá trị, đã lưu</t>
        </is>
      </c>
      <c r="H40" s="7" t="inlineStr">
        <is>
          <t>Fail</t>
        </is>
      </c>
      <c r="I40" s="8" t="inlineStr">
        <is>
          <t>AC12 · BVA (min-1) · EP (30) · test_profile_limits_255_and_1900__AC12[ngay-1899-12-31, ngay-0001-01-01]</t>
        </is>
      </c>
    </row>
    <row r="41" ht="90.5" customHeight="1">
      <c r="A41" s="7" t="inlineStr">
        <is>
          <t>TC-LOGIN-33</t>
        </is>
      </c>
      <c r="B41" s="7" t="inlineStr">
        <is>
          <t>Gửi hồ sơ có họ tên, giới tính hoặc ngày sinh không hợp lệ</t>
        </is>
      </c>
      <c r="C41" s="8" t="inlineStr">
        <is>
          <t>User có phiên mobile, chưa có hồ sơ</t>
        </is>
      </c>
      <c r="D41" s="8" t="inlineStr">
        <is>
          <t>1. POST /auth/profile với từng giá trị
2. Đọc users.full_name</t>
        </is>
      </c>
      <c r="E41" s="8" t="inlineStr">
        <is>
          <t>ho_ten (blank) | "   " → invalid_full_name; gioi_tinh x | (blank) → invalid_gender; ngay_sinh 2026-02-30 | 30/01/1990 | abc</t>
        </is>
      </c>
      <c r="F41" s="8" t="inlineStr">
        <is>
          <t>422 (detail tương ứng); full_name vẫn NULL (profile_complete vẫn false)</t>
        </is>
      </c>
      <c r="G41" s="8" t="inlineStr">
        <is>
          <t>422 đúng detail ở cả 7 trường hợp; full_name NULL</t>
        </is>
      </c>
      <c r="H41" s="7" t="inlineStr">
        <is>
          <t>Pass</t>
        </is>
      </c>
      <c r="I41" s="8" t="inlineStr">
        <is>
          <t>AC12 · EP (26,31,32) · test_profile_invalid_classes_422_db_unchanged__AC12</t>
        </is>
      </c>
    </row>
    <row r="42" ht="57.5" customHeight="1">
      <c r="A42" s="7" t="inlineStr">
        <is>
          <t>TC-LOGIN-34</t>
        </is>
      </c>
      <c r="B42" s="7" t="inlineStr">
        <is>
          <t>Lưu ngày sinh là hôm nay lúc 12:00 giờ Việt Nam</t>
        </is>
      </c>
      <c r="C42" s="8" t="inlineStr">
        <is>
          <t>Đồng hồ server cố định 2026-10-08 12:00 (+07:00)</t>
        </is>
      </c>
      <c r="D42" s="8" t="inlineStr">
        <is>
          <t>1. POST /auth/profile {ngay_sinh: "2026-10-08"}</t>
        </is>
      </c>
      <c r="E42" s="8" t="inlineStr">
        <is>
          <t>ngay_sinh: 2026-10-08</t>
        </is>
      </c>
      <c r="F42" s="8" t="inlineStr">
        <is>
          <t>204</t>
        </is>
      </c>
      <c r="G42" s="8" t="inlineStr">
        <is>
          <t>204</t>
        </is>
      </c>
      <c r="H42" s="7" t="inlineStr">
        <is>
          <t>Pass</t>
        </is>
      </c>
      <c r="I42" s="8" t="inlineStr">
        <is>
          <t>AC12 · BVA (max) · EP (11) · test_birth_date_today_in_vietnam_accepted__AC12[12h-gio-VN]</t>
        </is>
      </c>
    </row>
    <row r="43" ht="57.5" customHeight="1">
      <c r="A43" s="7" t="inlineStr">
        <is>
          <t>TC-LOGIN-35</t>
        </is>
      </c>
      <c r="B43" s="7" t="inlineStr">
        <is>
          <t>Lưu ngày sinh là hôm nay lúc 00:30 giờ Việt Nam</t>
        </is>
      </c>
      <c r="C43" s="8" t="inlineStr">
        <is>
          <t>Đồng hồ server cố định 2026-10-08 00:30 (+07:00) = 2026-10-07 17:30 UTC</t>
        </is>
      </c>
      <c r="D43" s="8" t="inlineStr">
        <is>
          <t>1. POST /auth/profile {ngay_sinh: "2026-10-08"}</t>
        </is>
      </c>
      <c r="E43" s="8" t="inlineStr">
        <is>
          <t>ngay_sinh: 2026-10-08</t>
        </is>
      </c>
      <c r="F43" s="8" t="inlineStr">
        <is>
          <t>204 (hôm nay theo giờ Asia/Ho_Chi_Minh — bất biến 7)</t>
        </is>
      </c>
      <c r="G43" s="8" t="inlineStr">
        <is>
          <t>422 {"detail":"invalid_date_of_birth"}</t>
        </is>
      </c>
      <c r="H43" s="7" t="inlineStr">
        <is>
          <t>Fail</t>
        </is>
      </c>
      <c r="I43" s="8" t="inlineStr">
        <is>
          <t>AC12 · BVA (max) · EP (11) · test_birth_date_today_in_vietnam_accepted__AC12[0h30-gio-VN]</t>
        </is>
      </c>
    </row>
    <row r="44" ht="57.5" customHeight="1">
      <c r="A44" s="7" t="inlineStr">
        <is>
          <t>TC-LOGIN-36</t>
        </is>
      </c>
      <c r="B44" s="7" t="inlineStr">
        <is>
          <t>Lưu ngày sinh là ngày mai theo giờ Việt Nam</t>
        </is>
      </c>
      <c r="C44" s="8" t="inlineStr">
        <is>
          <t>Đồng hồ server cố định 2026-10-08 12:00 (+07:00)</t>
        </is>
      </c>
      <c r="D44" s="8" t="inlineStr">
        <is>
          <t>1. POST /auth/profile {ngay_sinh: "2026-10-09"}</t>
        </is>
      </c>
      <c r="E44" s="8" t="inlineStr">
        <is>
          <t>ngay_sinh: 2026-10-09</t>
        </is>
      </c>
      <c r="F44" s="8" t="inlineStr">
        <is>
          <t>422 {"detail":"invalid_date_of_birth"}; hồ sơ không đổi</t>
        </is>
      </c>
      <c r="G44" s="8" t="inlineStr">
        <is>
          <t>422 invalid_date_of_birth; full_name NULL</t>
        </is>
      </c>
      <c r="H44" s="7" t="inlineStr">
        <is>
          <t>Pass</t>
        </is>
      </c>
      <c r="I44" s="8" t="inlineStr">
        <is>
          <t>AC12 · BVA (max+1) · EP (29) · test_birth_date_tomorrow_in_vietnam_rejected__AC12</t>
        </is>
      </c>
    </row>
    <row r="45" ht="90.5" customHeight="1">
      <c r="A45" s="7" t="inlineStr">
        <is>
          <t>TC-LOGIN-37</t>
        </is>
      </c>
      <c r="B45" s="7" t="inlineStr">
        <is>
          <t>Gọi API cần đăng nhập với bearer thiếu, sai hoặc giả mạo</t>
        </is>
      </c>
      <c r="C45" s="8" t="inlineStr">
        <is>
          <t>User chưa có hồ sơ</t>
        </is>
      </c>
      <c r="D45" s="8" t="inlineStr">
        <is>
          <t>1. POST /auth/profile với từng header Authorization
2. Đọc users.full_name</t>
        </is>
      </c>
      <c r="E45" s="8" t="inlineStr">
        <is>
          <t>không có header | Basic &lt;token&gt; | "Bearer " | Bearer ' OR '1'='1 | token sửa chữ ký | token hết hạn (11 ngày trước) | token ký bằng secret khác</t>
        </is>
      </c>
      <c r="F45" s="8" t="inlineStr">
        <is>
          <t>401 ở mọi trường hợp; hồ sơ không đổi</t>
        </is>
      </c>
      <c r="G45" s="8" t="inlineStr">
        <is>
          <t>401 ở cả 7 trường hợp; full_name NULL</t>
        </is>
      </c>
      <c r="H45" s="7" t="inlineStr">
        <is>
          <t>Pass</t>
        </is>
      </c>
      <c r="I45" s="8" t="inlineStr">
        <is>
          <t>AC13 · Error Guessing (bảo mật) · test_bad_bearer_401_db_unchanged__AC13</t>
        </is>
      </c>
    </row>
    <row r="46" ht="140" customHeight="1">
      <c r="A46" s="7" t="inlineStr">
        <is>
          <t>TC-LOGIN-38</t>
        </is>
      </c>
      <c r="B46" s="7" t="inlineStr">
        <is>
          <t>Đăng nhập lần đầu trên app: hồ sơ, consent, vào Trang chủ</t>
        </is>
      </c>
      <c r="C46" s="8" t="inlineStr">
        <is>
          <t>Backend + Supabase local; emulator; số thử chưa có hồ sơ, consent health_data đã rút</t>
        </is>
      </c>
      <c r="D46" s="8" t="inlineStr">
        <is>
          <t>1. Mở app, tab Số điện thoại, nhập 0900000001
2. Tick đồng ý điều khoản, bấm "Gửi mã OTP"
3. Nhập 123456
4. Màn "Hoàn thiện hồ sơ": nhập Nguyễn Văn Ấn, chọn ngày sinh, chọn Nam, bấm "Lưu và tiếp tục"
5. Màn "Quyền riêng tư của bạn": bật dữ liệu sức khỏe, bấm "Tiếp tục"</t>
        </is>
      </c>
      <c r="E46" s="8" t="inlineStr">
        <is>
          <t>0900000001 / 123456; họ tên Nguyễn Văn Ấn</t>
        </is>
      </c>
      <c r="F46" s="8" t="inlineStr">
        <is>
          <t>Vào Trang chủ; DB: users.full_name = 'Nguyễn Văn Ấn', phone_number = +84900000001, đúng 1 dòng</t>
        </is>
      </c>
      <c r="G46" s="8" t="inlineStr">
        <is>
          <t>Vào Trang chủ; DB đúng</t>
        </is>
      </c>
      <c r="H46" s="7" t="inlineStr">
        <is>
          <t>Pass</t>
        </is>
      </c>
      <c r="I46" s="8" t="inlineStr">
        <is>
          <t>AC16 · State Transition (chưa hồ sơ → đủ hồ sơ) · E2E login_new_user_test.dart · evidence/test-e2e.log</t>
        </is>
      </c>
    </row>
    <row r="47" ht="41" customHeight="1">
      <c r="A47" s="7" t="inlineStr">
        <is>
          <t>TC-LOGIN-39</t>
        </is>
      </c>
      <c r="B47" s="7" t="inlineStr">
        <is>
          <t>Mở lại app khi còn phiên đăng nhập</t>
        </is>
      </c>
      <c r="C47" s="8" t="inlineStr">
        <is>
          <t>Đã qua TC-LOGIN-38</t>
        </is>
      </c>
      <c r="D47" s="8" t="inlineStr">
        <is>
          <t>1. Khởi động lại app (dựng lại toàn bộ app với cùng bộ nhớ thiết bị)</t>
        </is>
      </c>
      <c r="E47" s="8" t="inlineStr">
        <is>
          <t>Phiên đã lưu trong secure storage</t>
        </is>
      </c>
      <c r="F47" s="8" t="inlineStr">
        <is>
          <t>Vào thẳng Trang chủ, không hỏi OTP</t>
        </is>
      </c>
      <c r="G47" s="8" t="inlineStr">
        <is>
          <t>Vào thẳng Trang chủ</t>
        </is>
      </c>
      <c r="H47" s="7" t="inlineStr">
        <is>
          <t>Pass</t>
        </is>
      </c>
      <c r="I47" s="8" t="inlineStr">
        <is>
          <t>AC17 · E2E login_new_user_test.dart · evidence/test-e2e.log</t>
        </is>
      </c>
    </row>
    <row r="48" ht="41" customHeight="1">
      <c r="A48" s="7" t="inlineStr">
        <is>
          <t>TC-LOGIN-40</t>
        </is>
      </c>
      <c r="B48" s="7" t="inlineStr">
        <is>
          <t>Đăng xuất rồi mở lại app</t>
        </is>
      </c>
      <c r="C48" s="8" t="inlineStr">
        <is>
          <t>Đang ở Trang chủ</t>
        </is>
      </c>
      <c r="D48" s="8" t="inlineStr">
        <is>
          <t>1. Tab "Hồ sơ" → "Đăng xuất"
2. Khởi động lại app</t>
        </is>
      </c>
      <c r="E48" s="8" t="inlineStr">
        <is>
          <t>Không</t>
        </is>
      </c>
      <c r="F48" s="8" t="inlineStr">
        <is>
          <t>Về màn Đăng nhập; mở lại vẫn ở màn Đăng nhập</t>
        </is>
      </c>
      <c r="G48" s="8" t="inlineStr">
        <is>
          <t>Đúng như mong đợi</t>
        </is>
      </c>
      <c r="H48" s="7" t="inlineStr">
        <is>
          <t>Pass</t>
        </is>
      </c>
      <c r="I48" s="8" t="inlineStr">
        <is>
          <t>AC18 · E2E login_new_user_test.dart · evidence/test-e2e.log</t>
        </is>
      </c>
    </row>
    <row r="49" ht="57.5" customHeight="1">
      <c r="A49" s="7" t="inlineStr">
        <is>
          <t>TC-LOGIN-41</t>
        </is>
      </c>
      <c r="B49" s="7" t="inlineStr">
        <is>
          <t>Nhập mã OTP sai rồi nhập lại mã đúng trên app</t>
        </is>
      </c>
      <c r="C49" s="8" t="inlineStr">
        <is>
          <t>Số thử đã có hồ sơ và consent</t>
        </is>
      </c>
      <c r="D49" s="8" t="inlineStr">
        <is>
          <t>1. Nhập 0900000001, gửi mã
2. Nhập 000000
3. Nhập lại 123456</t>
        </is>
      </c>
      <c r="E49" s="8" t="inlineStr">
        <is>
          <t>000000 rồi 123456</t>
        </is>
      </c>
      <c r="F49" s="8" t="inlineStr">
        <is>
          <t>Sau mã sai: hiện "Mã OTP không đúng hoặc đã hết hạn", vẫn ở màn OTP; sau mã đúng: vào Trang chủ</t>
        </is>
      </c>
      <c r="G49" s="8" t="inlineStr">
        <is>
          <t>Đúng như mong đợi</t>
        </is>
      </c>
      <c r="H49" s="7" t="inlineStr">
        <is>
          <t>Pass</t>
        </is>
      </c>
      <c r="I49" s="8" t="inlineStr">
        <is>
          <t>AC19 · E2E login_errors_test.dart · evidence/test-e2e.log</t>
        </is>
      </c>
    </row>
    <row r="50" ht="74" customHeight="1">
      <c r="A50" s="7" t="inlineStr">
        <is>
          <t>TC-LOGIN-42</t>
        </is>
      </c>
      <c r="B50" s="7" t="inlineStr">
        <is>
          <t>Chạm lại ô OTP sau khi nhập sai để sửa mã</t>
        </is>
      </c>
      <c r="C50" s="8" t="inlineStr">
        <is>
          <t>Như TC-LOGIN-41, đang ở màn OTP sau lần nhập 000000</t>
        </is>
      </c>
      <c r="D50" s="8" t="inlineStr">
        <is>
          <t>1. Chạm vào ô mã OTP
2. Theo dõi request backend nhận được</t>
        </is>
      </c>
      <c r="E50" s="8" t="inlineStr">
        <is>
          <t>Ô đang chứa 000000</t>
        </is>
      </c>
      <c r="F50" s="8" t="inlineStr">
        <is>
          <t>Không gửi xác thực cho tới khi người dùng nhập mã mới đủ 6 số</t>
        </is>
      </c>
      <c r="G50" s="8" t="inlineStr">
        <is>
          <t>Backend nhận thêm một POST /auth/mobile/verify 401 với mã cũ ngay khi chạm ô (chuỗi request: otp 204, verify 401, verify 401, verify 200)</t>
        </is>
      </c>
      <c r="H50" s="7" t="inlineStr">
        <is>
          <t>Fail</t>
        </is>
      </c>
      <c r="I50" s="8" t="inlineStr">
        <is>
          <t>AC19 · Error Guessing (bấm/chạm lặp) · E2E login_errors_test.dart</t>
        </is>
      </c>
    </row>
    <row r="51" ht="74" customHeight="1">
      <c r="A51" s="7" t="inlineStr">
        <is>
          <t>TC-LOGIN-43</t>
        </is>
      </c>
      <c r="B51" s="7" t="inlineStr">
        <is>
          <t>Nhập số điện thoại không hợp lệ trên màn Đăng nhập</t>
        </is>
      </c>
      <c r="C51" s="8" t="inlineStr">
        <is>
          <t>Mở app, chưa đăng nhập, đã tick điều khoản</t>
        </is>
      </c>
      <c r="D51" s="8" t="inlineStr">
        <is>
          <t>1. Nhập abc, bấm "Gửi mã OTP"
2. Nhập 12, bấm "Gửi mã OTP"</t>
        </is>
      </c>
      <c r="E51" s="8" t="inlineStr">
        <is>
          <t>abc | 12</t>
        </is>
      </c>
      <c r="F51" s="8" t="inlineStr">
        <is>
          <t>abc: ô chỉ nhận chữ số nên rỗng → "Vui lòng nhập số điện thoại"; 12: "Số điện thoại không hợp lệ (9-11 chữ số)"; không sang màn OTP</t>
        </is>
      </c>
      <c r="G51" s="8" t="inlineStr">
        <is>
          <t>Đúng như mong đợi</t>
        </is>
      </c>
      <c r="H51" s="7" t="inlineStr">
        <is>
          <t>Pass</t>
        </is>
      </c>
      <c r="I51" s="8" t="inlineStr">
        <is>
          <t>AC20 · EP (14,17) · E2E login_errors_test.dart</t>
        </is>
      </c>
    </row>
    <row r="52" ht="57.5" customHeight="1">
      <c r="A52" s="7" t="inlineStr">
        <is>
          <t>TC-LOGIN-44</t>
        </is>
      </c>
      <c r="B52" s="7" t="inlineStr">
        <is>
          <t>Nhập số điện thoại có khoảng trắng trên app</t>
        </is>
      </c>
      <c r="C52" s="8" t="inlineStr">
        <is>
          <t>Như TC-LOGIN-43</t>
        </is>
      </c>
      <c r="D52" s="8" t="inlineStr">
        <is>
          <t>1. Nhập 0900 000 001
2. Bấm "Gửi mã OTP", nhập 123456</t>
        </is>
      </c>
      <c r="E52" s="8" t="inlineStr">
        <is>
          <t>0900 000 001</t>
        </is>
      </c>
      <c r="F52" s="8" t="inlineStr">
        <is>
          <t>Ô hiển thị "090 000 0001"; đăng nhập vào Trang chủ; DB vẫn 1 dòng users, cùng user_id với TC-LOGIN-38</t>
        </is>
      </c>
      <c r="G52" s="8" t="inlineStr">
        <is>
          <t>Đúng như mong đợi</t>
        </is>
      </c>
      <c r="H52" s="7" t="inlineStr">
        <is>
          <t>Pass</t>
        </is>
      </c>
      <c r="I52" s="8" t="inlineStr">
        <is>
          <t>AC20 · EP (3) · E2E login_errors_test.dart · evidence/test-e2e.log</t>
        </is>
      </c>
    </row>
    <row r="53" ht="90.5" customHeight="1">
      <c r="A53" s="7" t="inlineStr">
        <is>
          <t>TC-LOGIN-45</t>
        </is>
      </c>
      <c r="B53" s="7" t="inlineStr">
        <is>
          <t>Hoàn thiện hồ sơ trên app với họ tên rỗng rồi họ tên là chuỗi injection</t>
        </is>
      </c>
      <c r="C53" s="8" t="inlineStr">
        <is>
          <t>Số thử chưa có hồ sơ (đã có consent)</t>
        </is>
      </c>
      <c r="D53" s="8" t="inlineStr">
        <is>
          <t>1. Đăng nhập, màn Hoàn thiện hồ sơ
2. Chọn ngày sinh, giới tính Nữ, để trống họ tên, bấm "Lưu và tiếp tục"
3. Nhập họ tên '); DROP TABLE users;--, bấm "Lưu và tiếp tục"</t>
        </is>
      </c>
      <c r="E53" s="8" t="inlineStr">
        <is>
          <t>(blank) rồi '); DROP TABLE users;--</t>
        </is>
      </c>
      <c r="F53" s="8" t="inlineStr">
        <is>
          <t>Lần 1: hiện "Vui lòng nhập họ tên", ở lại màn; lần 2: vào Trang chủ; DB lưu nguyên văn chuỗi, bảng users còn, số dòng không giảm</t>
        </is>
      </c>
      <c r="G53" s="8" t="inlineStr">
        <is>
          <t>Đúng như mong đợi</t>
        </is>
      </c>
      <c r="H53" s="7" t="inlineStr">
        <is>
          <t>Pass</t>
        </is>
      </c>
      <c r="I53" s="8" t="inlineStr">
        <is>
          <t>AC20 · EP (9,26) · E2E profile_input_test.dart · evidence/test-e2e.log</t>
        </is>
      </c>
    </row>
    <row r="54" ht="90.5" customHeight="1">
      <c r="A54" s="7" t="inlineStr">
        <is>
          <t>TC-LOGIN-46</t>
        </is>
      </c>
      <c r="B54" s="7" t="inlineStr">
        <is>
          <t>Chạy script E2E khi thiếu điều kiện môi trường</t>
        </is>
      </c>
      <c r="C54" s="8" t="inlineStr">
        <is>
          <t>Không có Supabase local hoặc không có emulator</t>
        </is>
      </c>
      <c r="D54" s="8" t="inlineStr">
        <is>
          <t>1. backend/.venv/Scripts/python.exe tests/e2e/mobile_login/run_e2e.py</t>
        </is>
      </c>
      <c r="E54" s="8" t="inlineStr">
        <is>
          <t>Không</t>
        </is>
      </c>
      <c r="F54" s="8" t="inlineStr">
        <is>
          <t>Thoát mã 2 với "LỖI MÔI TRƯỜNG: …"; không chạy flutter, không báo pass; output không chứa key/token/mật khẩu</t>
        </is>
      </c>
      <c r="G54" s="8" t="inlineStr">
        <is>
          <t>Đúng như mong đợi (unit test test_run_e2e.py, 16 pass)</t>
        </is>
      </c>
      <c r="H54" s="7" t="inlineStr">
        <is>
          <t>Pass</t>
        </is>
      </c>
      <c r="I54" s="8" t="inlineStr">
        <is>
          <t>AC21 · test_main_exits_2_when_environment_missing, test_pick_device_*, test_require_local_*, test_redact_* · evidence/test-tests-unit.log</t>
        </is>
      </c>
    </row>
    <row r="55" ht="74" customHeight="1">
      <c r="A55" s="7" t="inlineStr">
        <is>
          <t>TC-LOGIN-47</t>
        </is>
      </c>
      <c r="B55" s="7" t="inlineStr">
        <is>
          <t>Gõ lại mã OTP bằng bàn phím thật sau khi nhập sai</t>
        </is>
      </c>
      <c r="C55" s="8" t="inlineStr">
        <is>
          <t>Điện thoại hoặc emulator, app nối backend có Supabase; đang ở màn OTP sau khi nhập mã sai</t>
        </is>
      </c>
      <c r="D55" s="8" t="inlineStr">
        <is>
          <t>1. Chạm vào ô mã
2. Xóa mã cũ bằng phím xóa
3. Gõ mã đúng bằng bàn phím</t>
        </is>
      </c>
      <c r="E55" s="8" t="inlineStr">
        <is>
          <t>Mã đúng của số đang dùng</t>
        </is>
      </c>
      <c r="F55" s="8" t="inlineStr">
        <is>
          <t>Mã mới hiện trong ô và app vào Trang chủ</t>
        </is>
      </c>
      <c r="G55" s="8" t="inlineStr"/>
      <c r="H55" s="7" t="inlineStr">
        <is>
          <t>Pending</t>
        </is>
      </c>
      <c r="I55" s="8" t="inlineStr">
        <is>
          <t>AC19 · manual · integration_test không gõ lại được vào ô sau khi app bỏ focus nên E2E đặt mã qua controller</t>
        </is>
      </c>
    </row>
    <row r="56" ht="57.5" customHeight="1">
      <c r="A56" s="7" t="inlineStr">
        <is>
          <t>TC-LOGIN-48</t>
        </is>
      </c>
      <c r="B56" s="7" t="inlineStr">
        <is>
          <t>Tắt hẳn app (force stop) rồi mở lại khi còn phiên</t>
        </is>
      </c>
      <c r="C56" s="8" t="inlineStr">
        <is>
          <t>Đã đăng nhập trên thiết bị</t>
        </is>
      </c>
      <c r="D56" s="8" t="inlineStr">
        <is>
          <t>1. Cài đặt → Ứng dụng → DrugTime → Buộc dừng
2. Mở lại app từ màn hình chính</t>
        </is>
      </c>
      <c r="E56" s="8" t="inlineStr">
        <is>
          <t>Không</t>
        </is>
      </c>
      <c r="F56" s="8" t="inlineStr">
        <is>
          <t>Vào thẳng Trang chủ, không hỏi OTP</t>
        </is>
      </c>
      <c r="G56" s="8" t="inlineStr"/>
      <c r="H56" s="7" t="inlineStr">
        <is>
          <t>Pending</t>
        </is>
      </c>
      <c r="I56" s="8" t="inlineStr">
        <is>
          <t>AC17 · manual · integration_test chỉ dựng lại app trong cùng tiến trình</t>
        </is>
      </c>
    </row>
    <row r="57"/>
    <row r="58"/>
    <row r="59">
      <c r="G59" s="12" t="inlineStr">
        <is>
          <t>Pass</t>
        </is>
      </c>
      <c r="H59" s="13">
        <f>COUNTIF(H9:H56,"Pass")</f>
        <v/>
      </c>
    </row>
    <row r="60">
      <c r="G60" s="12" t="inlineStr">
        <is>
          <t>Fail</t>
        </is>
      </c>
      <c r="H60" s="13">
        <f>COUNTIF(H9:H56,"Fail")</f>
        <v/>
      </c>
    </row>
    <row r="61">
      <c r="G61" s="12" t="inlineStr">
        <is>
          <t>Pending</t>
        </is>
      </c>
      <c r="H61" s="13">
        <f>COUNTIF(H9:H56,"Pending")</f>
        <v/>
      </c>
    </row>
    <row r="62">
      <c r="G62" s="12" t="inlineStr">
        <is>
          <t>Total</t>
        </is>
      </c>
      <c r="H62" s="13">
        <f>SUM(H59:H61)</f>
        <v/>
      </c>
    </row>
  </sheetData>
  <autoFilter ref="A8:I56"/>
  <conditionalFormatting sqref="H9:H56">
    <cfRule type="cellIs" priority="1" operator="equal" dxfId="0">
      <formula>"Fail"</formula>
    </cfRule>
  </conditionalFormatting>
  <dataValidations count="1">
    <dataValidation sqref="H9:H56" showDropDown="0" showInputMessage="0" showErrorMessage="0" allowBlank="0" type="list">
      <formula1>"Pass,Fail,Pending"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4"/>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s>
  <sheetData>
    <row r="1">
      <c r="A1" s="1" t="inlineStr">
        <is>
          <t>Project Name</t>
        </is>
      </c>
      <c r="B1" s="2" t="inlineStr">
        <is>
          <t>DrugTime</t>
        </is>
      </c>
    </row>
    <row r="2">
      <c r="A2" s="1" t="inlineStr">
        <is>
          <t>Module Name</t>
        </is>
      </c>
      <c r="B2" s="2" t="inlineStr">
        <is>
          <t>Quản lý lịch uống thuốc (SCHED)</t>
        </is>
      </c>
    </row>
    <row r="3">
      <c r="A3" s="1" t="inlineStr">
        <is>
          <t>Created By</t>
        </is>
      </c>
      <c r="B3" s="2" t="inlineStr">
        <is>
          <t>zannguyen</t>
        </is>
      </c>
    </row>
    <row r="4">
      <c r="A4" s="1" t="inlineStr">
        <is>
          <t>Creation Date</t>
        </is>
      </c>
      <c r="B4" s="21" t="n">
        <v>46304</v>
      </c>
    </row>
    <row r="5">
      <c r="A5" s="1" t="inlineStr">
        <is>
          <t>Reviewed By</t>
        </is>
      </c>
      <c r="B5" s="2" t="inlineStr"/>
    </row>
    <row r="6">
      <c r="A6" s="1" t="inlineStr">
        <is>
          <t>Reviewed Date</t>
        </is>
      </c>
      <c r="B6" s="2" t="n"/>
    </row>
    <row r="7">
      <c r="K7" s="4" t="inlineStr">
        <is>
          <t>Equivalence Partitioning</t>
        </is>
      </c>
      <c r="Q7" s="4" t="inlineStr">
        <is>
          <t>Kết quả thao tác ghi lịch theo trạng thái thuốc</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row>
    <row r="9" ht="74" customHeight="1">
      <c r="A9" s="7" t="inlineStr">
        <is>
          <t>TC-SCHED-01</t>
        </is>
      </c>
      <c r="B9" s="7" t="inlineStr">
        <is>
          <t>Thêm giờ uống 12:00 cho thuốc theo giờ</t>
        </is>
      </c>
      <c r="C9" s="8" t="inlineStr">
        <is>
          <t>Người bệnh P có consent health_data; thuốc X có lịch 08:00, 20:00 cả tuần</t>
        </is>
      </c>
      <c r="D9" s="8" t="inlineStr">
        <is>
          <t>1. POST /medications/{X}/schedules với body
2. Đọc lịch của X trong DB</t>
        </is>
      </c>
      <c r="E9" s="8" t="inlineStr">
        <is>
          <t>{"intake_time": "12:00"}</t>
        </is>
      </c>
      <c r="F9" s="8" t="inlineStr">
        <is>
          <t>201; schedules 08:00, 12:00, 20:00; lịch mới cả tuần, reminder_enabled true, effective_from = thời điểm request; doses_per_day = 3; 08:00, 20:00 giữ id</t>
        </is>
      </c>
      <c r="G9" s="8" t="inlineStr">
        <is>
          <t>201, đúng như kỳ vọng</t>
        </is>
      </c>
      <c r="H9" s="7" t="inlineStr">
        <is>
          <t>Pass</t>
        </is>
      </c>
      <c r="I9" s="8" t="inlineStr">
        <is>
          <t>AC1 · EP (1) · Decision Table (R5) · test_add_schedule__AC1[None]</t>
        </is>
      </c>
      <c r="K9" s="9" t="inlineStr">
        <is>
          <t>intake_time</t>
        </is>
      </c>
      <c r="L9" s="10" t="inlineStr">
        <is>
          <t>HH:MM 24 giờ, chưa có lịch mở cùng giờ</t>
        </is>
      </c>
      <c r="M9" s="10" t="inlineStr">
        <is>
          <t>1</t>
        </is>
      </c>
      <c r="N9" s="10" t="inlineStr">
        <is>
          <t>Thiếu
Sai định dạng (8:00, 7h, 24:00, 12:60)
Trùng giờ một lịch đang mở khác</t>
        </is>
      </c>
      <c r="O9" s="10" t="inlineStr">
        <is>
          <t>7
8
9</t>
        </is>
      </c>
      <c r="Q9" s="10" t="inlineStr">
        <is>
          <t>Thuốc đã ngừng?</t>
        </is>
      </c>
      <c r="R9" s="11" t="inlineStr">
        <is>
          <t>Yes</t>
        </is>
      </c>
      <c r="S9" s="11" t="inlineStr">
        <is>
          <t>No</t>
        </is>
      </c>
      <c r="T9" s="11" t="inlineStr">
        <is>
          <t>No</t>
        </is>
      </c>
      <c r="U9" s="11" t="inlineStr">
        <is>
          <t>No</t>
        </is>
      </c>
      <c r="V9" s="11" t="inlineStr">
        <is>
          <t>No</t>
        </is>
      </c>
    </row>
    <row r="10" ht="74" customHeight="1">
      <c r="A10" s="7" t="inlineStr">
        <is>
          <t>TC-SCHED-02</t>
        </is>
      </c>
      <c r="B10" s="7" t="inlineStr">
        <is>
          <t>Thêm giờ uống tắt nhắc</t>
        </is>
      </c>
      <c r="C10" s="8" t="inlineStr">
        <is>
          <t>Như TC-SCHED-01</t>
        </is>
      </c>
      <c r="D10" s="8" t="inlineStr">
        <is>
          <t>1. POST /medications/{X}/schedules với body</t>
        </is>
      </c>
      <c r="E10" s="8" t="inlineStr">
        <is>
          <t>{"intake_time": "12:00", "reminder_enabled": false}</t>
        </is>
      </c>
      <c r="F10" s="8" t="inlineStr">
        <is>
          <t>201; lịch 12:00 có reminder_enabled false</t>
        </is>
      </c>
      <c r="G10" s="8" t="inlineStr">
        <is>
          <t>201, reminder_enabled false</t>
        </is>
      </c>
      <c r="H10" s="7" t="inlineStr">
        <is>
          <t>Pass</t>
        </is>
      </c>
      <c r="I10" s="8" t="inlineStr">
        <is>
          <t>AC1 · EP (2) · test_add_schedule__AC1[False]</t>
        </is>
      </c>
      <c r="K10" s="9" t="inlineStr">
        <is>
          <t>reminder_enabled</t>
        </is>
      </c>
      <c r="L10" s="10" t="inlineStr">
        <is>
          <t>true
false
Không gửi (mặc định true khi thêm)</t>
        </is>
      </c>
      <c r="M10" s="10" t="inlineStr">
        <is>
          <t>2
3
4</t>
        </is>
      </c>
      <c r="N10" s="10" t="inlineStr">
        <is>
          <t>Chuỗi "false"
null hoặc số 0</t>
        </is>
      </c>
      <c r="O10" s="10" t="inlineStr">
        <is>
          <t>10
11</t>
        </is>
      </c>
      <c r="Q10" s="10" t="inlineStr">
        <is>
          <t>Thuốc as_needed?</t>
        </is>
      </c>
      <c r="R10" s="11" t="inlineStr">
        <is>
          <t>-</t>
        </is>
      </c>
      <c r="S10" s="11" t="inlineStr">
        <is>
          <t>Yes</t>
        </is>
      </c>
      <c r="T10" s="11" t="inlineStr">
        <is>
          <t>No</t>
        </is>
      </c>
      <c r="U10" s="11" t="inlineStr">
        <is>
          <t>No</t>
        </is>
      </c>
      <c r="V10" s="11" t="inlineStr">
        <is>
          <t>No</t>
        </is>
      </c>
    </row>
    <row r="11" ht="74" customHeight="1">
      <c r="A11" s="7" t="inlineStr">
        <is>
          <t>TC-SCHED-03</t>
        </is>
      </c>
      <c r="B11" s="7" t="inlineStr">
        <is>
          <t>Thêm giờ trùng một lịch đang mở</t>
        </is>
      </c>
      <c r="C11" s="8" t="inlineStr">
        <is>
          <t>Như TC-SCHED-01</t>
        </is>
      </c>
      <c r="D11" s="8" t="inlineStr">
        <is>
          <t>1. POST /medications/{X}/schedules với body
2. So dữ liệu thuốc, lịch trước và sau</t>
        </is>
      </c>
      <c r="E11" s="8" t="inlineStr">
        <is>
          <t>{"intake_time": "08:00"}</t>
        </is>
      </c>
      <c r="F11" s="8" t="inlineStr">
        <is>
          <t>422 {"detail": "schedule_time_conflict"}; không ghi gì</t>
        </is>
      </c>
      <c r="G11" s="8" t="inlineStr">
        <is>
          <t>422 schedule_time_conflict; DB không đổi</t>
        </is>
      </c>
      <c r="H11" s="7" t="inlineStr">
        <is>
          <t>Pass</t>
        </is>
      </c>
      <c r="I11" s="8" t="inlineStr">
        <is>
          <t>AC2 · EP (5) · Decision Table (R3) · test_add_schedule_rejected_writes_nothing__AC2</t>
        </is>
      </c>
      <c r="K11" s="9" t="inlineStr">
        <is>
          <t>days_of_week (PATCH /medications/{id})</t>
        </is>
      </c>
      <c r="L11" s="10" t="inlineStr">
        <is>
          <t>1–7 phần tử, giá trị 1..7, không trùng</t>
        </is>
      </c>
      <c r="M11" s="10" t="inlineStr">
        <is>
          <t>5</t>
        </is>
      </c>
      <c r="N11" s="10" t="inlineStr">
        <is>
          <t>Mảng rỗng
Giá trị ngoài 1..7
Phần tử trùng
Gửi cho thuốc as_needed</t>
        </is>
      </c>
      <c r="O11" s="10" t="inlineStr">
        <is>
          <t>12
13
14
15</t>
        </is>
      </c>
      <c r="Q11" s="10" t="inlineStr">
        <is>
          <t>Trùng giờ lịch mở?</t>
        </is>
      </c>
      <c r="R11" s="11" t="inlineStr">
        <is>
          <t>-</t>
        </is>
      </c>
      <c r="S11" s="11" t="inlineStr">
        <is>
          <t>-</t>
        </is>
      </c>
      <c r="T11" s="11" t="inlineStr">
        <is>
          <t>Yes</t>
        </is>
      </c>
      <c r="U11" s="11" t="inlineStr">
        <is>
          <t>No</t>
        </is>
      </c>
      <c r="V11" s="11" t="inlineStr">
        <is>
          <t>No</t>
        </is>
      </c>
    </row>
    <row r="12" ht="74" customHeight="1">
      <c r="A12" s="7" t="inlineStr">
        <is>
          <t>TC-SCHED-04</t>
        </is>
      </c>
      <c r="B12" s="7" t="inlineStr">
        <is>
          <t>Thêm giờ với body sai cấu trúc</t>
        </is>
      </c>
      <c r="C12" s="8" t="inlineStr">
        <is>
          <t>Như TC-SCHED-01</t>
        </is>
      </c>
      <c r="D12" s="8" t="inlineStr">
        <is>
          <t>1. Gửi lần lượt từng body tới POST /medications/{X}/schedules</t>
        </is>
      </c>
      <c r="E12" s="8" t="inlineStr">
        <is>
          <t>{} ; {"intake_time": "24:00"} ; {"intake_time": "08:00", "days_of_week": [1]} ; {"intake_time": "09:00", "foo": 1}</t>
        </is>
      </c>
      <c r="F12" s="8" t="inlineStr">
        <is>
          <t>422, detail là mảng lỗi theo field; không ghi gì</t>
        </is>
      </c>
      <c r="G12" s="8" t="inlineStr">
        <is>
          <t>422 mảng lỗi cho cả 4 body; DB không đổi</t>
        </is>
      </c>
      <c r="H12" s="7" t="inlineStr">
        <is>
          <t>Pass</t>
        </is>
      </c>
      <c r="I12" s="8" t="inlineStr">
        <is>
          <t>AC2 · EP (3,4) · test_add_schedule_rejected_writes_nothing__AC2</t>
        </is>
      </c>
      <c r="K12" s="9" t="inlineStr">
        <is>
          <t>schedule_id</t>
        </is>
      </c>
      <c r="L12" s="10" t="inlineStr">
        <is>
          <t>Lịch đang mở của đúng thuốc</t>
        </is>
      </c>
      <c r="M12" s="10" t="inlineStr">
        <is>
          <t>6</t>
        </is>
      </c>
      <c r="N12" s="10" t="inlineStr">
        <is>
          <t>Lịch đã đóng
Lịch của thuốc khác
Id không tồn tại</t>
        </is>
      </c>
      <c r="O12" s="10" t="inlineStr">
        <is>
          <t>16
17
18</t>
        </is>
      </c>
      <c r="Q12" s="10" t="inlineStr">
        <is>
          <t>Đã có 6 lịch mở?</t>
        </is>
      </c>
      <c r="R12" s="11" t="inlineStr">
        <is>
          <t>-</t>
        </is>
      </c>
      <c r="S12" s="11" t="inlineStr">
        <is>
          <t>-</t>
        </is>
      </c>
      <c r="T12" s="11" t="inlineStr">
        <is>
          <t>-</t>
        </is>
      </c>
      <c r="U12" s="11" t="inlineStr">
        <is>
          <t>Yes</t>
        </is>
      </c>
      <c r="V12" s="11" t="inlineStr">
        <is>
          <t>No</t>
        </is>
      </c>
    </row>
    <row r="13" ht="41" customHeight="1">
      <c r="A13" s="7" t="inlineStr">
        <is>
          <t>TC-SCHED-BVA-01</t>
        </is>
      </c>
      <c r="B13" s="7" t="inlineStr">
        <is>
          <t>Thêm giờ ở biên dưới và trên của ngày</t>
        </is>
      </c>
      <c r="C13" s="8" t="inlineStr">
        <is>
          <t>Thuốc có lịch 12:00</t>
        </is>
      </c>
      <c r="D13" s="8" t="inlineStr">
        <is>
          <t>1. POST /medications/{X}/schedules với 00:00
2. Lặp lại với thuốc khác và 23:59</t>
        </is>
      </c>
      <c r="E13" s="8" t="inlineStr">
        <is>
          <t>00:00 ; 23:59</t>
        </is>
      </c>
      <c r="F13" s="8" t="inlineStr">
        <is>
          <t>201 cả hai</t>
        </is>
      </c>
      <c r="G13" s="8" t="inlineStr">
        <is>
          <t>201 cả hai (evidence/testcase-bva-manual.log)</t>
        </is>
      </c>
      <c r="H13" s="7" t="inlineStr">
        <is>
          <t>Pass</t>
        </is>
      </c>
      <c r="I13" s="8" t="inlineStr">
        <is>
          <t>AC1 · BVA (min, max) · manual (scratch/bva_check.py)</t>
        </is>
      </c>
      <c r="Q13" s="6" t="inlineStr">
        <is>
          <t>Action</t>
        </is>
      </c>
      <c r="R13" s="5" t="inlineStr">
        <is>
          <t>R1</t>
        </is>
      </c>
      <c r="S13" s="5" t="inlineStr">
        <is>
          <t>R2</t>
        </is>
      </c>
      <c r="T13" s="5" t="inlineStr">
        <is>
          <t>R3</t>
        </is>
      </c>
      <c r="U13" s="5" t="inlineStr">
        <is>
          <t>R4</t>
        </is>
      </c>
      <c r="V13" s="5" t="inlineStr">
        <is>
          <t>R5</t>
        </is>
      </c>
    </row>
    <row r="14" ht="74" customHeight="1">
      <c r="A14" s="7" t="inlineStr">
        <is>
          <t>TC-SCHED-BVA-02</t>
        </is>
      </c>
      <c r="B14" s="7" t="inlineStr">
        <is>
          <t>Thêm giờ ở biên trên + 1</t>
        </is>
      </c>
      <c r="C14" s="8" t="inlineStr">
        <is>
          <t>Như TC-SCHED-01</t>
        </is>
      </c>
      <c r="D14" s="8" t="inlineStr">
        <is>
          <t>1. POST /medications/{X}/schedules</t>
        </is>
      </c>
      <c r="E14" s="8" t="inlineStr">
        <is>
          <t>{"intake_time": "24:00"}</t>
        </is>
      </c>
      <c r="F14" s="8" t="inlineStr">
        <is>
          <t>422 mảng lỗi</t>
        </is>
      </c>
      <c r="G14" s="8" t="inlineStr">
        <is>
          <t>422 mảng lỗi</t>
        </is>
      </c>
      <c r="H14" s="7" t="inlineStr">
        <is>
          <t>Pass</t>
        </is>
      </c>
      <c r="I14" s="8" t="inlineStr">
        <is>
          <t>AC2 · BVA (max+1) · test_add_schedule_rejected_writes_nothing__AC2; test_schedule_structural_errors_422_array</t>
        </is>
      </c>
      <c r="Q14" s="10" t="inlineStr">
        <is>
          <t>422 medication_stopped</t>
        </is>
      </c>
      <c r="R14" s="11" t="inlineStr">
        <is>
          <t>X</t>
        </is>
      </c>
      <c r="S14" s="11" t="inlineStr"/>
      <c r="T14" s="11" t="inlineStr"/>
      <c r="U14" s="11" t="inlineStr"/>
      <c r="V14" s="11" t="inlineStr"/>
    </row>
    <row r="15" ht="41" customHeight="1">
      <c r="A15" s="7" t="inlineStr">
        <is>
          <t>TC-SCHED-BVA-03</t>
        </is>
      </c>
      <c r="B15" s="7" t="inlineStr">
        <is>
          <t>Thêm lịch thứ 6 (biên trên số lịch)</t>
        </is>
      </c>
      <c r="C15" s="8" t="inlineStr">
        <is>
          <t>Thuốc có 5 lịch mở</t>
        </is>
      </c>
      <c r="D15" s="8" t="inlineStr">
        <is>
          <t>1. POST /medications/{X}/schedules 16:00</t>
        </is>
      </c>
      <c r="E15" s="8" t="inlineStr">
        <is>
          <t>{"intake_time": "16:00"}</t>
        </is>
      </c>
      <c r="F15" s="8" t="inlineStr">
        <is>
          <t>201; doses_per_day = 6</t>
        </is>
      </c>
      <c r="G15" s="8" t="inlineStr">
        <is>
          <t>201; doses_per_day 6 (evidence/testcase-bva-manual.log)</t>
        </is>
      </c>
      <c r="H15" s="7" t="inlineStr">
        <is>
          <t>Pass</t>
        </is>
      </c>
      <c r="I15" s="8" t="inlineStr">
        <is>
          <t>AC2 · BVA (max) · manual (scratch/bva_check.py)</t>
        </is>
      </c>
      <c r="Q15" s="10" t="inlineStr">
        <is>
          <t>422 medication_rule_violation</t>
        </is>
      </c>
      <c r="R15" s="11" t="inlineStr"/>
      <c r="S15" s="11" t="inlineStr">
        <is>
          <t>X</t>
        </is>
      </c>
      <c r="T15" s="11" t="inlineStr"/>
      <c r="U15" s="11" t="inlineStr"/>
      <c r="V15" s="11" t="inlineStr"/>
    </row>
    <row r="16" ht="57.5" customHeight="1">
      <c r="A16" s="7" t="inlineStr">
        <is>
          <t>TC-SCHED-BVA-04</t>
        </is>
      </c>
      <c r="B16" s="7" t="inlineStr">
        <is>
          <t>Thêm lịch thứ 7 (biên trên + 1)</t>
        </is>
      </c>
      <c r="C16" s="8" t="inlineStr">
        <is>
          <t>Thuốc có 6 lịch mở</t>
        </is>
      </c>
      <c r="D16" s="8" t="inlineStr">
        <is>
          <t>1. POST /medications/{X}/schedules 18:00</t>
        </is>
      </c>
      <c r="E16" s="8" t="inlineStr">
        <is>
          <t>{"intake_time": "18:00"}</t>
        </is>
      </c>
      <c r="F16" s="8" t="inlineStr">
        <is>
          <t>422 {"detail": "schedule_limit_reached"}; không ghi gì</t>
        </is>
      </c>
      <c r="G16" s="8" t="inlineStr">
        <is>
          <t>422 schedule_limit_reached; lịch không đổi</t>
        </is>
      </c>
      <c r="H16" s="7" t="inlineStr">
        <is>
          <t>Pass</t>
        </is>
      </c>
      <c r="I16" s="8" t="inlineStr">
        <is>
          <t>AC2 · BVA (max+1) · Decision Table (R4) · test_add_schedule_limit_reached__AC2</t>
        </is>
      </c>
      <c r="Q16" s="10" t="inlineStr">
        <is>
          <t>422 schedule_time_conflict</t>
        </is>
      </c>
      <c r="R16" s="11" t="inlineStr"/>
      <c r="S16" s="11" t="inlineStr"/>
      <c r="T16" s="11" t="inlineStr">
        <is>
          <t>X</t>
        </is>
      </c>
      <c r="U16" s="11" t="inlineStr"/>
      <c r="V16" s="11" t="inlineStr"/>
    </row>
    <row r="17" ht="57.5" customHeight="1">
      <c r="A17" s="7" t="inlineStr">
        <is>
          <t>TC-SCHED-05</t>
        </is>
      </c>
      <c r="B17" s="7" t="inlineStr">
        <is>
          <t>Thêm giờ cho thuốc dùng khi cần</t>
        </is>
      </c>
      <c r="C17" s="8" t="inlineStr">
        <is>
          <t>Thuốc W as_needed</t>
        </is>
      </c>
      <c r="D17" s="8" t="inlineStr">
        <is>
          <t>1. POST /medications/{W}/schedules</t>
        </is>
      </c>
      <c r="E17" s="8" t="inlineStr">
        <is>
          <t>{"intake_time": "08:00"}</t>
        </is>
      </c>
      <c r="F17" s="8" t="inlineStr">
        <is>
          <t>422 {"detail": "medication_rule_violation"}; không có lịch</t>
        </is>
      </c>
      <c r="G17" s="8" t="inlineStr">
        <is>
          <t>422 medication_rule_violation</t>
        </is>
      </c>
      <c r="H17" s="7" t="inlineStr">
        <is>
          <t>Pass</t>
        </is>
      </c>
      <c r="I17" s="8" t="inlineStr">
        <is>
          <t>AC2 · Decision Table (R2) · test_add_schedule_as_needed_422__AC2</t>
        </is>
      </c>
      <c r="Q17" s="10" t="inlineStr">
        <is>
          <t>422 schedule_limit_reached</t>
        </is>
      </c>
      <c r="R17" s="11" t="inlineStr"/>
      <c r="S17" s="11" t="inlineStr"/>
      <c r="T17" s="11" t="inlineStr"/>
      <c r="U17" s="11" t="inlineStr">
        <is>
          <t>X</t>
        </is>
      </c>
      <c r="V17" s="11" t="inlineStr"/>
    </row>
    <row r="18" ht="57.5" customHeight="1">
      <c r="A18" s="7" t="inlineStr">
        <is>
          <t>TC-SCHED-06</t>
        </is>
      </c>
      <c r="B18" s="7" t="inlineStr">
        <is>
          <t>Ghi lịch của thuốc đã ngừng</t>
        </is>
      </c>
      <c r="C18" s="8" t="inlineStr">
        <is>
          <t>Thuốc X đã ngừng (PATCH stopped true)</t>
        </is>
      </c>
      <c r="D18" s="8" t="inlineStr">
        <is>
          <t>1. POST /medications/{X}/schedules
2. PATCH /medications/{X}/schedules/{S1}
3. DELETE /medications/{X}/schedules/{S1}</t>
        </is>
      </c>
      <c r="E18" s="8" t="inlineStr">
        <is>
          <t>12:00 ; {"intake_time": "07:00"} ; (blank)</t>
        </is>
      </c>
      <c r="F18" s="8" t="inlineStr">
        <is>
          <t>Cả ba 422 {"detail": "medication_stopped"}; không ghi gì</t>
        </is>
      </c>
      <c r="G18" s="8" t="inlineStr">
        <is>
          <t>422 medication_stopped cả ba; DB không đổi</t>
        </is>
      </c>
      <c r="H18" s="7" t="inlineStr">
        <is>
          <t>Pass</t>
        </is>
      </c>
      <c r="I18" s="8" t="inlineStr">
        <is>
          <t>AC8 · Decision Table (R1) · test_stopped_medication_schedule_writes_422__AC8</t>
        </is>
      </c>
      <c r="Q18" s="10" t="inlineStr">
        <is>
          <t>201, thêm lịch</t>
        </is>
      </c>
      <c r="R18" s="11" t="inlineStr"/>
      <c r="S18" s="11" t="inlineStr"/>
      <c r="T18" s="11" t="inlineStr"/>
      <c r="U18" s="11" t="inlineStr"/>
      <c r="V18" s="11" t="inlineStr">
        <is>
          <t>X</t>
        </is>
      </c>
    </row>
    <row r="19" ht="74" customHeight="1">
      <c r="A19" s="7" t="inlineStr">
        <is>
          <t>TC-SCHED-07</t>
        </is>
      </c>
      <c r="B19" s="7" t="inlineStr">
        <is>
          <t>Đổi giờ một lịch, lịch cũ đóng chứ không xoá</t>
        </is>
      </c>
      <c r="C19" s="8" t="inlineStr">
        <is>
          <t>X có S1 08:00, S2 20:00; một liều quá khứ trỏ S1</t>
        </is>
      </c>
      <c r="D19" s="8" t="inlineStr">
        <is>
          <t>1. PATCH /medications/{X}/schedules/{S1}
2. Đọc lịch và dose_logs trong DB</t>
        </is>
      </c>
      <c r="E19" s="8" t="inlineStr">
        <is>
          <t>{"intake_time": "07:00"}</t>
        </is>
      </c>
      <c r="F19" s="8" t="inlineStr">
        <is>
          <t>200; S1 có ended_at, vẫn còn dòng; lịch 07:00 id mới, effective_from = ended_at(S1), giữ ngày và nhắc; S2 không đổi; doses_per_day 2; liều cũ vẫn trỏ S1</t>
        </is>
      </c>
      <c r="G19" s="8" t="inlineStr">
        <is>
          <t>200, đúng như kỳ vọng</t>
        </is>
      </c>
      <c r="H19" s="7" t="inlineStr">
        <is>
          <t>Pass</t>
        </is>
      </c>
      <c r="I19" s="8" t="inlineStr">
        <is>
          <t>AC3 · test_edit_time_versions_schedule_and_keeps_dose_logs__AC3</t>
        </is>
      </c>
    </row>
    <row r="20" ht="57.5" customHeight="1">
      <c r="A20" s="7" t="inlineStr">
        <is>
          <t>TC-SCHED-08</t>
        </is>
      </c>
      <c r="B20" s="7" t="inlineStr">
        <is>
          <t>Tắt rồi bật nhắc một giờ</t>
        </is>
      </c>
      <c r="C20" s="8" t="inlineStr">
        <is>
          <t>Như TC-SCHED-07</t>
        </is>
      </c>
      <c r="D20" s="8" t="inlineStr">
        <is>
          <t>1. PATCH S1 reminder_enabled false
2. PATCH lịch mới reminder_enabled true</t>
        </is>
      </c>
      <c r="E20" s="8" t="inlineStr">
        <is>
          <t>{"reminder_enabled": false} ; {"reminder_enabled": true}</t>
        </is>
      </c>
      <c r="F20" s="8" t="inlineStr">
        <is>
          <t>Mỗi lần 200, đóng lịch cũ và tạo lịch 08:00 id mới với trạng thái nhắc mới; luôn còn 2 lịch mở</t>
        </is>
      </c>
      <c r="G20" s="8" t="inlineStr">
        <is>
          <t>200 cả hai; 2 lịch mở, 4 dòng lịch</t>
        </is>
      </c>
      <c r="H20" s="7" t="inlineStr">
        <is>
          <t>Pass</t>
        </is>
      </c>
      <c r="I20" s="8" t="inlineStr">
        <is>
          <t>AC4 · EP (1,2) · test_toggle_reminder_versions_schedule__AC4</t>
        </is>
      </c>
    </row>
    <row r="21" ht="57.5" customHeight="1">
      <c r="A21" s="7" t="inlineStr">
        <is>
          <t>TC-SCHED-09</t>
        </is>
      </c>
      <c r="B21" s="7" t="inlineStr">
        <is>
          <t>Sửa lịch với giá trị giống hiện tại</t>
        </is>
      </c>
      <c r="C21" s="8" t="inlineStr">
        <is>
          <t>S2 20:00 nhắc bật</t>
        </is>
      </c>
      <c r="D21" s="8" t="inlineStr">
        <is>
          <t>1. PATCH /medications/{X}/schedules/{S2} với từng body</t>
        </is>
      </c>
      <c r="E21" s="8" t="inlineStr">
        <is>
          <t>{"reminder_enabled": true} ; {"intake_time": "20:00"} ; cả hai</t>
        </is>
      </c>
      <c r="F21" s="8" t="inlineStr">
        <is>
          <t>200; S2 giữ id; DB không đổi</t>
        </is>
      </c>
      <c r="G21" s="8" t="inlineStr">
        <is>
          <t>200; DB không đổi</t>
        </is>
      </c>
      <c r="H21" s="7" t="inlineStr">
        <is>
          <t>Pass</t>
        </is>
      </c>
      <c r="I21" s="8" t="inlineStr">
        <is>
          <t>AC4 · test_edit_same_values_noop__AC4</t>
        </is>
      </c>
    </row>
    <row r="22" ht="74" customHeight="1">
      <c r="A22" s="7" t="inlineStr">
        <is>
          <t>TC-SCHED-10</t>
        </is>
      </c>
      <c r="B22" s="7" t="inlineStr">
        <is>
          <t>Sửa lịch sang giờ trùng lịch khác hoặc body sai</t>
        </is>
      </c>
      <c r="C22" s="8" t="inlineStr">
        <is>
          <t>Như TC-SCHED-07</t>
        </is>
      </c>
      <c r="D22" s="8" t="inlineStr">
        <is>
          <t>1. PATCH /medications/{X}/schedules/{S1} với từng body</t>
        </is>
      </c>
      <c r="E22" s="8" t="inlineStr">
        <is>
          <t>{"intake_time": "20:00"} ; {} ; {"intake_time": "7h"} ; {"reminder_enabled": false, "x": 1}</t>
        </is>
      </c>
      <c r="F22" s="8" t="inlineStr">
        <is>
          <t>422 (schedule_time_conflict cho body đầu, mảng lỗi cho phần còn lại); không ghi gì</t>
        </is>
      </c>
      <c r="G22" s="8" t="inlineStr">
        <is>
          <t>Đúng như kỳ vọng</t>
        </is>
      </c>
      <c r="H22" s="7" t="inlineStr">
        <is>
          <t>Pass</t>
        </is>
      </c>
      <c r="I22" s="8" t="inlineStr">
        <is>
          <t>AC5 · EP (5,3) · test_edit_invalid_writes_nothing__AC5</t>
        </is>
      </c>
    </row>
    <row r="23" ht="74" customHeight="1">
      <c r="A23" s="7" t="inlineStr">
        <is>
          <t>TC-SCHED-11</t>
        </is>
      </c>
      <c r="B23" s="7" t="inlineStr">
        <is>
          <t>Sửa hoặc hủy lịch đã đóng, lịch thuốc khác, id không tồn tại</t>
        </is>
      </c>
      <c r="C23" s="8" t="inlineStr">
        <is>
          <t>S1 đã bị thay (sau TC-SCHED-07); P có thuốc khác Y</t>
        </is>
      </c>
      <c r="D23" s="8" t="inlineStr">
        <is>
          <t>1. PATCH và DELETE /medications/{X}/schedules/{id} với từng id</t>
        </is>
      </c>
      <c r="E23" s="8" t="inlineStr">
        <is>
          <t>S1 (đã đóng) ; lịch của Y ; 4611686018427387904</t>
        </is>
      </c>
      <c r="F23" s="8" t="inlineStr">
        <is>
          <t>404 {"detail": "medication_schedule_not_found"}; không lịch nào đổi</t>
        </is>
      </c>
      <c r="G23" s="8" t="inlineStr">
        <is>
          <t>404 cả 6 lần; DB không đổi</t>
        </is>
      </c>
      <c r="H23" s="7" t="inlineStr">
        <is>
          <t>Pass</t>
        </is>
      </c>
      <c r="I23" s="8" t="inlineStr">
        <is>
          <t>AC6 · EP (schedule_id: không hợp lệ) · test_closed_or_foreign_schedule_404_changes_nothing__AC6</t>
        </is>
      </c>
    </row>
    <row r="24" ht="41" customHeight="1">
      <c r="A24" s="7" t="inlineStr">
        <is>
          <t>TC-SCHED-12</t>
        </is>
      </c>
      <c r="B24" s="7" t="inlineStr">
        <is>
          <t>Hủy một giờ uống</t>
        </is>
      </c>
      <c r="C24" s="8" t="inlineStr">
        <is>
          <t>X có S1, S2</t>
        </is>
      </c>
      <c r="D24" s="8" t="inlineStr">
        <is>
          <t>1. DELETE /medications/{X}/schedules/{S2}
2. GET /medications/{X}</t>
        </is>
      </c>
      <c r="E24" s="8" t="inlineStr">
        <is>
          <t>(blank)</t>
        </is>
      </c>
      <c r="F24" s="8" t="inlineStr">
        <is>
          <t>200; schedules chỉ còn S1; S2 có ended_at; doses_per_day 1; liều không đổi</t>
        </is>
      </c>
      <c r="G24" s="8" t="inlineStr">
        <is>
          <t>200, đúng như kỳ vọng</t>
        </is>
      </c>
      <c r="H24" s="7" t="inlineStr">
        <is>
          <t>Pass</t>
        </is>
      </c>
      <c r="I24" s="8" t="inlineStr">
        <is>
          <t>AC7 · test_remove_schedule__AC7</t>
        </is>
      </c>
    </row>
    <row r="25" ht="41" customHeight="1">
      <c r="A25" s="7" t="inlineStr">
        <is>
          <t>TC-SCHED-13</t>
        </is>
      </c>
      <c r="B25" s="7" t="inlineStr">
        <is>
          <t>Hủy lịch mở cuối cùng</t>
        </is>
      </c>
      <c r="C25" s="8" t="inlineStr">
        <is>
          <t>X chỉ còn S1</t>
        </is>
      </c>
      <c r="D25" s="8" t="inlineStr">
        <is>
          <t>1. DELETE /medications/{X}/schedules/{S1}</t>
        </is>
      </c>
      <c r="E25" s="8" t="inlineStr">
        <is>
          <t>(blank)</t>
        </is>
      </c>
      <c r="F25" s="8" t="inlineStr">
        <is>
          <t>422 {"detail": "last_schedule_not_removable"}; lịch vẫn mở</t>
        </is>
      </c>
      <c r="G25" s="8" t="inlineStr">
        <is>
          <t>422 last_schedule_not_removable</t>
        </is>
      </c>
      <c r="H25" s="7" t="inlineStr">
        <is>
          <t>Pass</t>
        </is>
      </c>
      <c r="I25" s="8" t="inlineStr">
        <is>
          <t>AC8 · test_remove_last_schedule_422__AC8</t>
        </is>
      </c>
    </row>
    <row r="26" ht="74" customHeight="1">
      <c r="A26" s="7" t="inlineStr">
        <is>
          <t>TC-SCHED-14</t>
        </is>
      </c>
      <c r="B26" s="7" t="inlineStr">
        <is>
          <t>Đổi ngày uống trong tuần</t>
        </is>
      </c>
      <c r="C26" s="8" t="inlineStr">
        <is>
          <t>X có S1 08:00 nhắc bật, S2 20:00 nhắc tắt</t>
        </is>
      </c>
      <c r="D26" s="8" t="inlineStr">
        <is>
          <t>1. PATCH /medications/{X}
2. Gửi lại cùng ngày
3. PATCH kèm intake_times</t>
        </is>
      </c>
      <c r="E26" s="8" t="inlineStr">
        <is>
          <t>{"days_of_week": [5,1,3]} ; [1,3,5] ; {"intake_times": ["09:00"], "days_of_week": [6,7]}</t>
        </is>
      </c>
      <c r="F26" s="8" t="inlineStr">
        <is>
          <t>Lần 1: 200, lịch mới 08:00 và 20:00 ngày [1,3,5], giữ nhắc, cùng effective_from = ended_at lịch cũ; lần 2: không đổi lịch; lần 3: lịch 09:00 ngày [6,7]</t>
        </is>
      </c>
      <c r="G26" s="8" t="inlineStr">
        <is>
          <t>Đúng như kỳ vọng</t>
        </is>
      </c>
      <c r="H26" s="7" t="inlineStr">
        <is>
          <t>Pass</t>
        </is>
      </c>
      <c r="I26" s="8" t="inlineStr">
        <is>
          <t>AC9 · EP (days: hợp lệ) · test_patch_days_of_week__AC9</t>
        </is>
      </c>
    </row>
    <row r="27" ht="74" customHeight="1">
      <c r="A27" s="7" t="inlineStr">
        <is>
          <t>TC-SCHED-15</t>
        </is>
      </c>
      <c r="B27" s="7" t="inlineStr">
        <is>
          <t>Đổi ngày uống với giá trị sai</t>
        </is>
      </c>
      <c r="C27" s="8" t="inlineStr">
        <is>
          <t>Như TC-SCHED-14</t>
        </is>
      </c>
      <c r="D27" s="8" t="inlineStr">
        <is>
          <t>1. PATCH /medications/{X} với từng body</t>
        </is>
      </c>
      <c r="E27" s="8" t="inlineStr">
        <is>
          <t>[] ; [8] ; [1,1] ; chuyển sang as_needed kèm days_of_week [1]</t>
        </is>
      </c>
      <c r="F27" s="8" t="inlineStr">
        <is>
          <t>422 (mảng lỗi, hoặc medication_rule_violation cho body cuối); không ghi gì</t>
        </is>
      </c>
      <c r="G27" s="8" t="inlineStr">
        <is>
          <t>Đúng như kỳ vọng</t>
        </is>
      </c>
      <c r="H27" s="7" t="inlineStr">
        <is>
          <t>Pass</t>
        </is>
      </c>
      <c r="I27" s="8" t="inlineStr">
        <is>
          <t>AC9 · EP (days: không hợp lệ) · test_patch_days_invalid_writes_nothing__AC9; test_patch_days_on_as_needed_422__AC9</t>
        </is>
      </c>
    </row>
    <row r="28" ht="57.5" customHeight="1">
      <c r="A28" s="7" t="inlineStr">
        <is>
          <t>TC-SCHED-BVA-05</t>
        </is>
      </c>
      <c r="B28" s="7" t="inlineStr">
        <is>
          <t>Đổi ngày uống ở biên 1, 7 và 0, 8</t>
        </is>
      </c>
      <c r="C28" s="8" t="inlineStr">
        <is>
          <t>Thuốc có lịch 08:00</t>
        </is>
      </c>
      <c r="D28" s="8" t="inlineStr">
        <is>
          <t>1. PATCH /medications/{X} với từng giá trị</t>
        </is>
      </c>
      <c r="E28" s="8" t="inlineStr">
        <is>
          <t>[1] ; [7] ; [0] ; [8]</t>
        </is>
      </c>
      <c r="F28" s="8" t="inlineStr">
        <is>
          <t>[1], [7]: 200; [0], [8]: 422</t>
        </is>
      </c>
      <c r="G28" s="8" t="inlineStr">
        <is>
          <t>200, 200, 422, 422 (evidence/testcase-bva-manual.log)</t>
        </is>
      </c>
      <c r="H28" s="7" t="inlineStr">
        <is>
          <t>Pass</t>
        </is>
      </c>
      <c r="I28" s="8" t="inlineStr">
        <is>
          <t>AC9 · BVA (min, max, min-1, max+1) · manual (scratch/bva_check.py)</t>
        </is>
      </c>
    </row>
    <row r="29" ht="41" customHeight="1">
      <c r="A29" s="7" t="inlineStr">
        <is>
          <t>TC-SCHED-16</t>
        </is>
      </c>
      <c r="B29" s="7" t="inlineStr">
        <is>
          <t>Đổi giờ qua PATCH /medications giữ trạng thái nhắc</t>
        </is>
      </c>
      <c r="C29" s="8" t="inlineStr">
        <is>
          <t>S2 20:00 đang tắt nhắc</t>
        </is>
      </c>
      <c r="D29" s="8" t="inlineStr">
        <is>
          <t>1. PATCH /medications/{X}</t>
        </is>
      </c>
      <c r="E29" s="8" t="inlineStr">
        <is>
          <t>{"intake_times": ["08:00","20:00","22:00"]}</t>
        </is>
      </c>
      <c r="F29" s="8" t="inlineStr">
        <is>
          <t>08:00 bật, 20:00 tắt, 22:00 bật</t>
        </is>
      </c>
      <c r="G29" s="8" t="inlineStr">
        <is>
          <t>Đúng như kỳ vọng</t>
        </is>
      </c>
      <c r="H29" s="7" t="inlineStr">
        <is>
          <t>Pass</t>
        </is>
      </c>
      <c r="I29" s="8" t="inlineStr">
        <is>
          <t>AC10 · test_patch_times_keeps_reminder__AC10</t>
        </is>
      </c>
    </row>
    <row r="30" ht="57.5" customHeight="1">
      <c r="A30" s="7" t="inlineStr">
        <is>
          <t>TC-SCHED-17</t>
        </is>
      </c>
      <c r="B30" s="7" t="inlineStr">
        <is>
          <t>Hai request thêm cùng giờ gửi đồng thời</t>
        </is>
      </c>
      <c r="C30" s="8" t="inlineStr">
        <is>
          <t>Như TC-SCHED-01</t>
        </is>
      </c>
      <c r="D30" s="8" t="inlineStr">
        <is>
          <t>1. Gửi song song hai POST /medications/{X}/schedules 12:00</t>
        </is>
      </c>
      <c r="E30" s="8" t="inlineStr">
        <is>
          <t>{"intake_time": "12:00"} ×2</t>
        </is>
      </c>
      <c r="F30" s="8" t="inlineStr">
        <is>
          <t>Một 201, một 422; đúng một lịch 12:00 mở; doses_per_day = số lịch mở</t>
        </is>
      </c>
      <c r="G30" s="8" t="inlineStr">
        <is>
          <t>[201, 422]; một lịch 12:00 (5/5 lần lặp)</t>
        </is>
      </c>
      <c r="H30" s="7" t="inlineStr">
        <is>
          <t>Pass</t>
        </is>
      </c>
      <c r="I30" s="8" t="inlineStr">
        <is>
          <t>AC11 · đoán lỗi (gửi trùng) · test_two_adds_same_time_one_wins__AC11</t>
        </is>
      </c>
    </row>
    <row r="31" ht="41" customHeight="1">
      <c r="A31" s="7" t="inlineStr">
        <is>
          <t>TC-SCHED-18</t>
        </is>
      </c>
      <c r="B31" s="7" t="inlineStr">
        <is>
          <t>Hủy hai lịch còn lại đồng thời</t>
        </is>
      </c>
      <c r="C31" s="8" t="inlineStr">
        <is>
          <t>X có S1, S2</t>
        </is>
      </c>
      <c r="D31" s="8" t="inlineStr">
        <is>
          <t>1. Gửi song song DELETE S1 và DELETE S2</t>
        </is>
      </c>
      <c r="E31" s="8" t="inlineStr">
        <is>
          <t>(blank)</t>
        </is>
      </c>
      <c r="F31" s="8" t="inlineStr">
        <is>
          <t>Một 200, một 422; còn đúng một lịch mở</t>
        </is>
      </c>
      <c r="G31" s="8" t="inlineStr">
        <is>
          <t>[200, 422]; 1 lịch mở (5/5 lần lặp)</t>
        </is>
      </c>
      <c r="H31" s="7" t="inlineStr">
        <is>
          <t>Pass</t>
        </is>
      </c>
      <c r="I31" s="8" t="inlineStr">
        <is>
          <t>AC11 · test_remove_both_schedules_one_wins__AC11</t>
        </is>
      </c>
    </row>
    <row r="32" ht="57.5" customHeight="1">
      <c r="A32" s="7" t="inlineStr">
        <is>
          <t>TC-SCHED-19</t>
        </is>
      </c>
      <c r="B32" s="7" t="inlineStr">
        <is>
          <t>Sửa một lịch và đổi ngày đồng thời</t>
        </is>
      </c>
      <c r="C32" s="8" t="inlineStr">
        <is>
          <t>X có S1, S2</t>
        </is>
      </c>
      <c r="D32" s="8" t="inlineStr">
        <is>
          <t>1. Gửi song song PATCH S1 07:00 và PATCH /medications/{X} days [2,4]</t>
        </is>
      </c>
      <c r="E32" s="8" t="inlineStr">
        <is>
          <t>{"intake_time": "07:00"} ; {"days_of_week": [2,4]}</t>
        </is>
      </c>
      <c r="F32" s="8" t="inlineStr">
        <is>
          <t>Không 5xx; đổi ngày 200; sửa lịch 200 hoặc 404; mọi lịch mở có ngày [2,4], không trùng giờ</t>
        </is>
      </c>
      <c r="G32" s="8" t="inlineStr">
        <is>
          <t>Đúng như kỳ vọng (5/5 lần lặp)</t>
        </is>
      </c>
      <c r="H32" s="7" t="inlineStr">
        <is>
          <t>Pass</t>
        </is>
      </c>
      <c r="I32" s="8" t="inlineStr">
        <is>
          <t>AC11 · test_edit_schedule_and_change_days_serialized__AC11</t>
        </is>
      </c>
    </row>
    <row r="33" ht="41" customHeight="1">
      <c r="A33" s="7" t="inlineStr">
        <is>
          <t>TC-SCHED-20</t>
        </is>
      </c>
      <c r="B33" s="7" t="inlineStr">
        <is>
          <t>Lỗi giữa chừng khi tạo lịch mới thì không đổi gì</t>
        </is>
      </c>
      <c r="C33" s="8" t="inlineStr">
        <is>
          <t>Giả lập lỗi khi chèn lịch mới</t>
        </is>
      </c>
      <c r="D33" s="8" t="inlineStr">
        <is>
          <t>1. PATCH S1 07:00
2. PATCH /medications/{X} days [1]</t>
        </is>
      </c>
      <c r="E33" s="8" t="inlineStr">
        <is>
          <t>add_schedules ném lỗi</t>
        </is>
      </c>
      <c r="F33" s="8" t="inlineStr">
        <is>
          <t>500; lịch cũ vẫn mở, không có lịch mới (rollback)</t>
        </is>
      </c>
      <c r="G33" s="8" t="inlineStr">
        <is>
          <t>500; DB không đổi</t>
        </is>
      </c>
      <c r="H33" s="7" t="inlineStr">
        <is>
          <t>Pass</t>
        </is>
      </c>
      <c r="I33" s="8" t="inlineStr">
        <is>
          <t>AC17 · test_failure_after_close_rolls_back__AC17</t>
        </is>
      </c>
    </row>
    <row r="34" ht="74" customHeight="1">
      <c r="A34" s="7" t="inlineStr">
        <is>
          <t>TC-SCHED-21</t>
        </is>
      </c>
      <c r="B34" s="7" t="inlineStr">
        <is>
          <t>Sửa lịch có liều đã xác nhận sớm</t>
        </is>
      </c>
      <c r="C34" s="8" t="inlineStr">
        <is>
          <t>Liều của S1 có giờ dự kiến 10 phút sau thời điểm hiện tại đã được ghi (da_uong)</t>
        </is>
      </c>
      <c r="D34" s="8" t="inlineStr">
        <is>
          <t>1. PATCH S1 tắt nhắc (lần khác: đổi giờ 07:55)
2. Đọc lịch và liều</t>
        </is>
      </c>
      <c r="E34" s="8" t="inlineStr">
        <is>
          <t>{"reminder_enabled": false} ; {"intake_time": "07:55"}</t>
        </is>
      </c>
      <c r="F34" s="8" t="inlineStr">
        <is>
          <t>ended_at(S1) = giờ dự kiến + 1 giây; lịch mới effective_from = ended_at(S1); liều vẫn thuộc S1 và nằm trong [effective_from, ended_at) của S1</t>
        </is>
      </c>
      <c r="G34" s="8" t="inlineStr">
        <is>
          <t>Đúng như kỳ vọng</t>
        </is>
      </c>
      <c r="H34" s="7" t="inlineStr">
        <is>
          <t>Pass</t>
        </is>
      </c>
      <c r="I34" s="8" t="inlineStr">
        <is>
          <t>AC20 · QD-16 · test_early_dose_edit_shifts_boundary__AC20</t>
        </is>
      </c>
    </row>
    <row r="35" ht="57.5" customHeight="1">
      <c r="A35" s="7" t="inlineStr">
        <is>
          <t>TC-SCHED-22</t>
        </is>
      </c>
      <c r="B35" s="7" t="inlineStr">
        <is>
          <t>Đổi ngày hoặc đổi giờ cả thuốc khi có liều xác nhận sớm</t>
        </is>
      </c>
      <c r="C35" s="8" t="inlineStr">
        <is>
          <t>Như TC-SCHED-21</t>
        </is>
      </c>
      <c r="D35" s="8" t="inlineStr">
        <is>
          <t>1. PATCH /medications/{X} days [1,2] (lần khác: intake_times 09:00, 21:00)</t>
        </is>
      </c>
      <c r="E35" s="8" t="inlineStr">
        <is>
          <t>{"days_of_week": [1,2]} ; {"intake_times": ["09:00","21:00"]}</t>
        </is>
      </c>
      <c r="F35" s="8" t="inlineStr">
        <is>
          <t>S1 đóng tại giờ dự kiến + 1 giây, S2 đóng sớm hơn; mọi lịch mới bắt đầu tại ended_at(S1)</t>
        </is>
      </c>
      <c r="G35" s="8" t="inlineStr">
        <is>
          <t>Đúng như kỳ vọng</t>
        </is>
      </c>
      <c r="H35" s="7" t="inlineStr">
        <is>
          <t>Pass</t>
        </is>
      </c>
      <c r="I35" s="8" t="inlineStr">
        <is>
          <t>AC20 · test_early_dose_bulk_replace_starts_after_dose__AC20</t>
        </is>
      </c>
    </row>
    <row r="36" ht="57.5" customHeight="1">
      <c r="A36" s="7" t="inlineStr">
        <is>
          <t>TC-SCHED-23</t>
        </is>
      </c>
      <c r="B36" s="7" t="inlineStr">
        <is>
          <t>Hủy lịch có liều sớm rồi thêm lại cùng giờ</t>
        </is>
      </c>
      <c r="C36" s="8" t="inlineStr">
        <is>
          <t>Như TC-SCHED-21</t>
        </is>
      </c>
      <c r="D36" s="8" t="inlineStr">
        <is>
          <t>1. DELETE S1
2. POST 08:00</t>
        </is>
      </c>
      <c r="E36" s="8" t="inlineStr">
        <is>
          <t>(blank) ; {"intake_time": "08:00"}</t>
        </is>
      </c>
      <c r="F36" s="8" t="inlineStr">
        <is>
          <t>ended_at(S1) = giờ dự kiến + 1 giây; lịch 08:00 mới có effective_from = ended_at(S1), không chồng khoảng hiệu lực</t>
        </is>
      </c>
      <c r="G36" s="8" t="inlineStr">
        <is>
          <t>Đúng như kỳ vọng</t>
        </is>
      </c>
      <c r="H36" s="7" t="inlineStr">
        <is>
          <t>Pass</t>
        </is>
      </c>
      <c r="I36" s="8" t="inlineStr">
        <is>
          <t>AC21 · test_delete_then_add_same_time_no_overlap__AC21</t>
        </is>
      </c>
    </row>
    <row r="37" ht="107" customHeight="1">
      <c r="A37" s="7" t="inlineStr">
        <is>
          <t>TC-SCHED-24</t>
        </is>
      </c>
      <c r="B37" s="7" t="inlineStr">
        <is>
          <t>Ngừng rồi dùng lại thuốc ngay sau khi có lịch hiệu lực ở tương lai</t>
        </is>
      </c>
      <c r="C37" s="8" t="inlineStr">
        <is>
          <t>Như TC-SCHED-21, S1 vừa được thay bằng lịch tắt nhắc</t>
        </is>
      </c>
      <c r="D37" s="8" t="inlineStr">
        <is>
          <t>1. PATCH /medications/{X} stopped true
2. PATCH /medications/{X} stopped false</t>
        </is>
      </c>
      <c r="E37" s="8" t="inlineStr">
        <is>
          <t>{"stopped": true} ; {"stopped": false}</t>
        </is>
      </c>
      <c r="F37" s="8" t="inlineStr">
        <is>
          <t>Cả hai 200 (không lỗi CHECK); dùng lại mở 08:00 tắt nhắc và 20:00 bật nhắc; lịch 08:00 mới bắt đầu ngay sau giờ dự kiến của liều sớm; liều nằm trong khoảng hiệu lực của lịch nó trỏ tới; không giờ dự kiến nào thuộc hai lịch</t>
        </is>
      </c>
      <c r="G37" s="8" t="inlineStr">
        <is>
          <t>Đúng như kỳ vọng (vòng 3)</t>
        </is>
      </c>
      <c r="H37" s="7" t="inlineStr">
        <is>
          <t>Pass</t>
        </is>
      </c>
      <c r="I37" s="8" t="inlineStr">
        <is>
          <t>AC25 · M1 của review · test_stop_and_reactivate_after_future_replacement</t>
        </is>
      </c>
    </row>
    <row r="38" ht="90.5" customHeight="1">
      <c r="A38" s="7" t="inlineStr">
        <is>
          <t>TC-SCHED-25</t>
        </is>
      </c>
      <c r="B38" s="7" t="inlineStr">
        <is>
          <t>Ngừng, chuyển sang khi cần, hoặc xoá thuốc khi có liều xác nhận sớm</t>
        </is>
      </c>
      <c r="C38" s="8" t="inlineStr">
        <is>
          <t>Liều của S1 có giờ dự kiến 10 phút sau thời điểm hiện tại đã được ghi (da_uong); X có S1 08:00, S2 20:00</t>
        </is>
      </c>
      <c r="D38" s="8" t="inlineStr">
        <is>
          <t>1. PATCH /medications/{X} stopped true (lần khác: chuyển as_needed; DELETE /medications/{X})
2. Đọc lịch, liều, thuốc trong DB</t>
        </is>
      </c>
      <c r="E38" s="8" t="inlineStr">
        <is>
          <t>{"stopped": true} ; {"dosing_mode": "as_needed", "max_doses_per_day": 2} ; DELETE</t>
        </is>
      </c>
      <c r="F38" s="8" t="inlineStr">
        <is>
          <t>ended_at(S1) = giờ dự kiến của liều + 1 giây; S2 đóng tại thời điểm request; liều vẫn nằm trong khoảng hiệu lực của S1; ended_at/deleted_at của thuốc = thời điểm request</t>
        </is>
      </c>
      <c r="G38" s="8" t="inlineStr">
        <is>
          <t>Đúng như kỳ vọng cả 3 thao tác</t>
        </is>
      </c>
      <c r="H38" s="7" t="inlineStr">
        <is>
          <t>Pass</t>
        </is>
      </c>
      <c r="I38" s="8" t="inlineStr">
        <is>
          <t>AC24 · QD-16 · R1 · test_stop_switch_or_delete_after_early_dose_keeps_dose_inside__AC24</t>
        </is>
      </c>
    </row>
    <row r="39" ht="74" customHeight="1">
      <c r="A39" s="7" t="inlineStr">
        <is>
          <t>TC-SCHED-26</t>
        </is>
      </c>
      <c r="B39" s="7" t="inlineStr">
        <is>
          <t>Ngừng rồi dùng lại thuốc trước giờ của liều xác nhận sớm</t>
        </is>
      </c>
      <c r="C39" s="8" t="inlineStr">
        <is>
          <t>Liều của S1 có giờ dự kiến 10 phút sau thời điểm hiện tại đã được ghi (da_uong); X có S1 08:00, S2 20:00</t>
        </is>
      </c>
      <c r="D39" s="8" t="inlineStr">
        <is>
          <t>1. PATCH stopped true
2. PATCH stopped false
3. Đọc lịch trong DB</t>
        </is>
      </c>
      <c r="E39" s="8" t="inlineStr">
        <is>
          <t>{"stopped": true} ; {"stopped": false}</t>
        </is>
      </c>
      <c r="F39" s="8" t="inlineStr">
        <is>
          <t>200; mở lại 08:00 và 20:00; lịch 08:00 mới bắt đầu tại ended_at(S1) (sau liều); 20:00 bắt đầu tại thời điểm dùng lại; không giờ dự kiến nào thuộc hai lịch</t>
        </is>
      </c>
      <c r="G39" s="8" t="inlineStr">
        <is>
          <t>Đúng như kỳ vọng (trước khi sửa R1: lịch 08:00 mới phủ giờ của liều, evidence/review-R1-repro.log)</t>
        </is>
      </c>
      <c r="H39" s="7" t="inlineStr">
        <is>
          <t>Pass</t>
        </is>
      </c>
      <c r="I39" s="8" t="inlineStr">
        <is>
          <t>AC25 · R1 · test_reactivate_after_early_dose_no_overlap__AC25</t>
        </is>
      </c>
    </row>
    <row r="40" ht="90.5" customHeight="1">
      <c r="A40" s="7" t="inlineStr">
        <is>
          <t>TC-SCHED-27</t>
        </is>
      </c>
      <c r="B40" s="7" t="inlineStr">
        <is>
          <t>Chuyển sang khi cần rồi về theo giờ trước giờ của liều xác nhận sớm</t>
        </is>
      </c>
      <c r="C40" s="8" t="inlineStr">
        <is>
          <t>Liều của S1 có giờ dự kiến 10 phút sau thời điểm hiện tại đã được ghi (da_uong); X có S1 08:00, S2 20:00</t>
        </is>
      </c>
      <c r="D40" s="8" t="inlineStr">
        <is>
          <t>1. PATCH chuyển as_needed
2. PATCH chuyển scheduled với intake_times 08:00, 20:00</t>
        </is>
      </c>
      <c r="E40" s="8" t="inlineStr">
        <is>
          <t>{"dosing_mode": "as_needed", "max_doses_per_day": 2} ; {"dosing_mode": "scheduled", "intake_times": ["08:00","20:00"]}</t>
        </is>
      </c>
      <c r="F40" s="8" t="inlineStr">
        <is>
          <t>Lịch 08:00 mới bắt đầu tại ended_at(S1) (sau liều); 20:00 tại thời điểm request; không giờ dự kiến nào thuộc hai lịch</t>
        </is>
      </c>
      <c r="G40" s="8" t="inlineStr">
        <is>
          <t>Đúng như kỳ vọng (trước khi sửa R1: lịch 08:00 mới phủ giờ của liều)</t>
        </is>
      </c>
      <c r="H40" s="7" t="inlineStr">
        <is>
          <t>Pass</t>
        </is>
      </c>
      <c r="I40" s="8" t="inlineStr">
        <is>
          <t>AC26 · R1 · test_back_to_scheduled_after_early_dose_no_overlap__AC26</t>
        </is>
      </c>
    </row>
    <row r="41" ht="90.5" customHeight="1">
      <c r="A41" s="7" t="inlineStr">
        <is>
          <t>TC-SCHED-28</t>
        </is>
      </c>
      <c r="B41" s="7" t="inlineStr">
        <is>
          <t>Dùng lại thuốc khi cần đã chuyển từ theo giờ sau liều xác nhận sớm</t>
        </is>
      </c>
      <c r="C41" s="8" t="inlineStr">
        <is>
          <t>Liều của S1 có giờ dự kiến 10 phút sau thời điểm hiện tại đã được ghi (da_uong); X có S1 08:00, S2 20:00</t>
        </is>
      </c>
      <c r="D41" s="8" t="inlineStr">
        <is>
          <t>1. PATCH chuyển as_needed
2. PATCH stopped true
3. PATCH stopped false
4. Đọc lịch trong DB</t>
        </is>
      </c>
      <c r="E41" s="8" t="inlineStr">
        <is>
          <t>{"dosing_mode": "as_needed", "max_doses_per_day": 2} ; {"stopped": true} ; {"stopped": false}</t>
        </is>
      </c>
      <c r="F41" s="8" t="inlineStr">
        <is>
          <t>200; dosing_mode as_needed, status active, schedules []; không có lịch mở trong DB; liều vẫn nằm trong khoảng hiệu lực của S1</t>
        </is>
      </c>
      <c r="G41" s="8" t="inlineStr">
        <is>
          <t>Đúng như kỳ vọng (trước khi sửa R2: schedules có lịch 08:00 mở, evidence/review-v3-asneeded-repro.log)</t>
        </is>
      </c>
      <c r="H41" s="7" t="inlineStr">
        <is>
          <t>Pass</t>
        </is>
      </c>
      <c r="I41" s="8" t="inlineStr">
        <is>
          <t>R2 của review vòng 3 · contract 'Thuốc as_needed: không tạo lịch' · test_reactivate_as_needed_after_early_dose_opens_no_schedule__R2</t>
        </is>
      </c>
    </row>
    <row r="42" ht="90.5" customHeight="1">
      <c r="A42" s="7" t="inlineStr">
        <is>
          <t>TC-SCHED-29</t>
        </is>
      </c>
      <c r="B42" s="7" t="inlineStr">
        <is>
          <t>Dùng lại thuốc sau khi đổi cả bộ giờ uống sau liều xác nhận sớm rồi ngừng</t>
        </is>
      </c>
      <c r="C42" s="8" t="inlineStr">
        <is>
          <t>Liều của S1 có giờ dự kiến 10 phút sau thời điểm hiện tại đã được ghi (da_uong); X theo giờ có S1 08:00, S2 20:00 cả tuần, đang dùng</t>
        </is>
      </c>
      <c r="D42" s="8" t="inlineStr">
        <is>
          <t>1. PATCH /medications/X đổi intake_times
2. PATCH /medications/X stopped true
3. PATCH /medications/X stopped false
4. Đọc response và lịch trong DB</t>
        </is>
      </c>
      <c r="E42" s="8" t="inlineStr">
        <is>
          <t>{"intake_times": ["07:00", "22:00"]} ; {"stopped": true} ; {"stopped": false}</t>
        </is>
      </c>
      <c r="F42" s="8" t="inlineStr">
        <is>
          <t>200; schedules gồm đủ 07:00 và 22:00; doses_per_day = 2 = số lịch mở; liều vẫn nằm trong khoảng hiệu lực của S1; không giờ dự kiến nào thuộc hai lịch</t>
        </is>
      </c>
      <c r="G42" s="8" t="inlineStr">
        <is>
          <t>Đúng như kỳ vọng (trước khi sửa R3: chỉ mở lại 22:00, doses_per_day 2, evidence/review-final-fuzz.log seed 43)</t>
        </is>
      </c>
      <c r="H42" s="7" t="inlineStr">
        <is>
          <t>Pass</t>
        </is>
      </c>
      <c r="I42" s="8" t="inlineStr">
        <is>
          <t>AC27 · R3 của review vòng 4 · test_reactivate_after_bulk_change_after_early_dose_keeps_all__AC27[intake_times]</t>
        </is>
      </c>
    </row>
    <row r="43" ht="90.5" customHeight="1">
      <c r="A43" s="7" t="inlineStr">
        <is>
          <t>TC-SCHED-30</t>
        </is>
      </c>
      <c r="B43" s="7" t="inlineStr">
        <is>
          <t>Dùng lại thuốc sau khi đổi ngày uống sau liều xác nhận sớm rồi ngừng</t>
        </is>
      </c>
      <c r="C43" s="8" t="inlineStr">
        <is>
          <t>Liều của S1 có giờ dự kiến 10 phút sau thời điểm hiện tại đã được ghi (da_uong); X theo giờ có S1 08:00, S2 20:00 cả tuần, đang dùng</t>
        </is>
      </c>
      <c r="D43" s="8" t="inlineStr">
        <is>
          <t>1. PATCH /medications/X đổi days_of_week
2. PATCH /medications/X stopped true
3. PATCH /medications/X stopped false</t>
        </is>
      </c>
      <c r="E43" s="8" t="inlineStr">
        <is>
          <t>{"days_of_week": [1, 2]} ; {"stopped": true} ; {"stopped": false}</t>
        </is>
      </c>
      <c r="F43" s="8" t="inlineStr">
        <is>
          <t>200; schedules 08:00 và 20:00 với days_of_week [1, 2]; doses_per_day = 2; không chồng khoảng hiệu lực</t>
        </is>
      </c>
      <c r="G43" s="8" t="inlineStr">
        <is>
          <t>Đúng như kỳ vọng</t>
        </is>
      </c>
      <c r="H43" s="7" t="inlineStr">
        <is>
          <t>Pass</t>
        </is>
      </c>
      <c r="I43" s="8" t="inlineStr">
        <is>
          <t>AC27 · R3 · test_reactivate_after_bulk_change_after_early_dose_keeps_all__AC27[days_of_week]</t>
        </is>
      </c>
    </row>
    <row r="44" ht="90.5" customHeight="1">
      <c r="A44" s="7" t="inlineStr">
        <is>
          <t>TC-SCHED-31</t>
        </is>
      </c>
      <c r="B44" s="7" t="inlineStr">
        <is>
          <t>Dùng lại thuốc sau khi sửa/xóa từng lịch tạo lịch hiệu lực ở tương lai</t>
        </is>
      </c>
      <c r="C44" s="8" t="inlineStr">
        <is>
          <t>Liều của S1 có giờ dự kiến 10 phút sau thời điểm hiện tại đã được ghi (da_uong); X theo giờ có S1 08:00, S2 20:00 cả tuần, đang dùng</t>
        </is>
      </c>
      <c r="D44" s="8" t="inlineStr">
        <is>
          <t>1. Ca 1: PATCH lịch S1 đổi giờ 07:55, rồi POST thêm 12:00
2. Ca 2: DELETE lịch S1, rồi POST thêm 08:00
3. PATCH stopped true, rồi stopped false</t>
        </is>
      </c>
      <c r="E44" s="8" t="inlineStr">
        <is>
          <t>Ca 1: {"intake_time": "07:55"} ; {"intake_time": "12:00"}. Ca 2: {"intake_time": "08:00"}</t>
        </is>
      </c>
      <c r="F44" s="8" t="inlineStr">
        <is>
          <t>Ca 1: schedules 07:55, 12:00, 20:00, doses_per_day 3. Ca 2: schedules 08:00, 20:00, doses_per_day 2. Liều trong khoảng của S1; không chồng lịch</t>
        </is>
      </c>
      <c r="G44" s="8" t="inlineStr">
        <is>
          <t>Đúng như kỳ vọng ở cả 2 ca</t>
        </is>
      </c>
      <c r="H44" s="7" t="inlineStr">
        <is>
          <t>Pass</t>
        </is>
      </c>
      <c r="I44" s="8" t="inlineStr">
        <is>
          <t>AC27 · test_reactivate_after_single_schedule_writes_with_future_schedule__AC27</t>
        </is>
      </c>
    </row>
    <row r="45" ht="107" customHeight="1">
      <c r="A45" s="7" t="inlineStr">
        <is>
          <t>TC-SCHED-32</t>
        </is>
      </c>
      <c r="B45" s="7" t="inlineStr">
        <is>
          <t>Không mở lại lịch đã bị thay trước khi ngừng; chỉ lịch đóng do ngừng mang dấu</t>
        </is>
      </c>
      <c r="C45" s="8" t="inlineStr">
        <is>
          <t>X theo giờ có S1 08:00, S2 20:00, đang dùng; không có liều sớm</t>
        </is>
      </c>
      <c r="D45" s="8" t="inlineStr">
        <is>
          <t>1. PATCH lịch S1 đổi giờ 07:00
2. PATCH /medications/X stopped true
3. Đọc closed_by_stop_at của các lịch trong DB
4. PATCH /medications/X stopped false</t>
        </is>
      </c>
      <c r="E45" s="8" t="inlineStr">
        <is>
          <t>{"intake_time": "07:00"} ; {"stopped": true} ; {"stopped": false}</t>
        </is>
      </c>
      <c r="F45" s="8" t="inlineStr">
        <is>
          <t>S1 (đóng vì sửa) có closed_by_stop_at NULL; các lịch đóng lúc ngừng có closed_by_stop_at = ended_at của thuốc; dùng lại: schedules 07:00, 20:00, doses_per_day 2; response không có field closed_by_stop_at; lịch mở lại không mang dấu</t>
        </is>
      </c>
      <c r="G45" s="8" t="inlineStr">
        <is>
          <t>Đúng như kỳ vọng</t>
        </is>
      </c>
      <c r="H45" s="7" t="inlineStr">
        <is>
          <t>Pass</t>
        </is>
      </c>
      <c r="I45" s="8" t="inlineStr">
        <is>
          <t>AC28 · M3 · test_reactivate_skips_schedules_replaced_before_stop_and_marks__AC28</t>
        </is>
      </c>
    </row>
    <row r="46" ht="74" customHeight="1">
      <c r="A46" s="7" t="inlineStr">
        <is>
          <t>TC-SCHED-33</t>
        </is>
      </c>
      <c r="B46" s="7" t="inlineStr">
        <is>
          <t>Dùng lại thuốc đã ngừng trước khi chạy migration (dữ liệu chưa có dấu)</t>
        </is>
      </c>
      <c r="C46" s="8" t="inlineStr">
        <is>
          <t>X đã ngừng; dấu closed_by_stop_at của mọi lịch đặt về NULL (giả lập dữ liệu trước migration 20261009065232)</t>
        </is>
      </c>
      <c r="D46" s="8" t="inlineStr">
        <is>
          <t>1. Chạy câu UPDATE điền dữ liệu của file migration
2. Kiểm closed_by_stop_at = ended_at của thuốc
3. PATCH /medications/X stopped false</t>
        </is>
      </c>
      <c r="E46" s="8" t="inlineStr">
        <is>
          <t>{"stopped": false}</t>
        </is>
      </c>
      <c r="F46" s="8" t="inlineStr">
        <is>
          <t>Mọi lịch đóng lúc ngừng được đánh dấu lại; 200; schedules 08:00, 20:00; doses_per_day 2 (như hành vi 2.01). supabase db reset chạy hết migration không lỗi</t>
        </is>
      </c>
      <c r="G46" s="8" t="inlineStr">
        <is>
          <t>Đúng như kỳ vọng; db reset OK (evidence/implement-v4-db-reset.log)</t>
        </is>
      </c>
      <c r="H46" s="7" t="inlineStr">
        <is>
          <t>Pass</t>
        </is>
      </c>
      <c r="I46" s="8" t="inlineStr">
        <is>
          <t>AC29 · test_backfill_marks_pre_migration_stop__AC29</t>
        </is>
      </c>
    </row>
    <row r="47" ht="57.5" customHeight="1">
      <c r="A47" s="7" t="inlineStr">
        <is>
          <t>TC-SCHED-34</t>
        </is>
      </c>
      <c r="B47" s="7" t="inlineStr">
        <is>
          <t>Chặn dấu đóng do ngừng trên lịch đang mở</t>
        </is>
      </c>
      <c r="C47" s="8" t="inlineStr">
        <is>
          <t>X có lịch S1 đang mở</t>
        </is>
      </c>
      <c r="D47" s="8" t="inlineStr">
        <is>
          <t>1. UPDATE medication_schedules SET closed_by_stop_at = now() WHERE id = S1</t>
        </is>
      </c>
      <c r="E47" s="8" t="inlineStr">
        <is>
          <t>closed_by_stop_at = now(), ended_at NULL</t>
        </is>
      </c>
      <c r="F47" s="8" t="inlineStr">
        <is>
          <t>DB từ chối: vi phạm medication_schedules_closed_by_stop_chk</t>
        </is>
      </c>
      <c r="G47" s="8" t="inlineStr">
        <is>
          <t>IntegrityError medication_schedules_closed_by_stop_chk</t>
        </is>
      </c>
      <c r="H47" s="7" t="inlineStr">
        <is>
          <t>Pass</t>
        </is>
      </c>
      <c r="I47" s="8" t="inlineStr">
        <is>
          <t>AC29 · Đoán lỗi (ràng buộc DB) · test_marker_requires_closed_schedule_check</t>
        </is>
      </c>
    </row>
    <row r="48" ht="90.5" customHeight="1">
      <c r="A48" s="7" t="inlineStr">
        <is>
          <t>TC-SCHED-35</t>
        </is>
      </c>
      <c r="B48" s="7" t="inlineStr">
        <is>
          <t>Giữ bất biến lịch trên chuỗi thao tác ngẫu nhiên có seed cố định</t>
        </is>
      </c>
      <c r="C48" s="8" t="inlineStr">
        <is>
          <t>Mỗi chuỗi: một thuốc theo giờ mới tạo (08:00, 20:00)</t>
        </is>
      </c>
      <c r="D48" s="8" t="inlineStr">
        <is>
          <t>1. Chạy 10 bước ngẫu nhiên theo seed: thêm/sửa/xóa từng lịch, bật/tắt nhắc, đổi giờ, đổi ngày, ngừng, dùng lại, chuyển chế độ, ghi liều xác nhận sớm
2. Sau mỗi bước kiểm bất biến I1–I5</t>
        </is>
      </c>
      <c r="E48" s="8" t="inlineStr">
        <is>
          <t>Seed 0–49 và 96, 97, 178, 198 (gồm 5 seed đã tìm ra R3: 43, 96, 97, 178, 198)</t>
        </is>
      </c>
      <c r="F48" s="8" t="inlineStr">
        <is>
          <t>I1 không giờ dự kiến thuộc hai lịch; I2 liều trong khoảng của lịch nó trỏ tới; I3 thuốc khi cần/đã ngừng không có lịch mở; I4 doses_per_day = số lịch mở, giờ không trùng; I5 không 5xx</t>
        </is>
      </c>
      <c r="G48" s="8" t="inlineStr">
        <is>
          <t>54/54 chuỗi giữ bất biến (bản 200 seed ở implement: 200/200; trước khi sửa R3: 195/200)</t>
        </is>
      </c>
      <c r="H48" s="7" t="inlineStr">
        <is>
          <t>Pass</t>
        </is>
      </c>
      <c r="I48" s="8" t="inlineStr">
        <is>
          <t>AC30 · Chuyển trạng thái (ngẫu nhiên) · test_random_sequences_keep_invariants__AC30</t>
        </is>
      </c>
    </row>
    <row r="49"/>
    <row r="50"/>
    <row r="51">
      <c r="G51" s="12" t="inlineStr">
        <is>
          <t>Pass</t>
        </is>
      </c>
      <c r="H51" s="13">
        <f>COUNTIF(H9:H48,"Pass")</f>
        <v/>
      </c>
    </row>
    <row r="52">
      <c r="G52" s="12" t="inlineStr">
        <is>
          <t>Fail</t>
        </is>
      </c>
      <c r="H52" s="13">
        <f>COUNTIF(H9:H48,"Fail")</f>
        <v/>
      </c>
    </row>
    <row r="53">
      <c r="G53" s="12" t="inlineStr">
        <is>
          <t>Pending</t>
        </is>
      </c>
      <c r="H53" s="13">
        <f>COUNTIF(H9:H48,"Pending")</f>
        <v/>
      </c>
    </row>
    <row r="54">
      <c r="G54" s="12" t="inlineStr">
        <is>
          <t>Total</t>
        </is>
      </c>
      <c r="H54" s="13">
        <f>SUM(H51:H53)</f>
        <v/>
      </c>
    </row>
  </sheetData>
  <autoFilter ref="A8:I48"/>
  <conditionalFormatting sqref="H9:H48">
    <cfRule type="cellIs" priority="1" operator="equal" dxfId="0">
      <formula>"Fail"</formula>
    </cfRule>
  </conditionalFormatting>
  <dataValidations count="1">
    <dataValidation sqref="H9:H48" showDropDown="0" showInputMessage="0" showErrorMessage="0" allowBlank="0" type="list">
      <formula1>"Pass,Fail,Pending"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5"/>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 width="8" customWidth="1" min="23" max="23"/>
  </cols>
  <sheetData>
    <row r="1">
      <c r="A1" s="1" t="inlineStr">
        <is>
          <t>Project Name</t>
        </is>
      </c>
      <c r="B1" s="2" t="inlineStr">
        <is>
          <t>DrugTime</t>
        </is>
      </c>
    </row>
    <row r="2">
      <c r="A2" s="1" t="inlineStr">
        <is>
          <t>Module Name</t>
        </is>
      </c>
      <c r="B2" s="2" t="inlineStr">
        <is>
          <t>Tải lịch uống và phân quyền dữ liệu thuốc (SCHEDSYNC)</t>
        </is>
      </c>
    </row>
    <row r="3">
      <c r="A3" s="1" t="inlineStr">
        <is>
          <t>Created By</t>
        </is>
      </c>
      <c r="B3" s="2" t="inlineStr">
        <is>
          <t>zannguyen</t>
        </is>
      </c>
    </row>
    <row r="4">
      <c r="A4" s="1" t="inlineStr">
        <is>
          <t>Creation Date</t>
        </is>
      </c>
      <c r="B4" s="21" t="n">
        <v>46304</v>
      </c>
    </row>
    <row r="5">
      <c r="A5" s="1" t="inlineStr">
        <is>
          <t>Reviewed By</t>
        </is>
      </c>
      <c r="B5" s="2" t="inlineStr"/>
    </row>
    <row r="6">
      <c r="A6" s="1" t="inlineStr">
        <is>
          <t>Reviewed Date</t>
        </is>
      </c>
      <c r="B6" s="2" t="n"/>
    </row>
    <row r="7">
      <c r="K7" s="4" t="inlineStr">
        <is>
          <t>Equivalence Partitioning</t>
        </is>
      </c>
      <c r="Q7" s="4" t="inlineStr">
        <is>
          <t>Quyền đọc GET /patients/{patient_id}/schedules</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c r="W8" s="5" t="inlineStr">
        <is>
          <t>R6</t>
        </is>
      </c>
    </row>
    <row r="9" ht="90.5" customHeight="1">
      <c r="A9" s="7" t="inlineStr">
        <is>
          <t>TC-SCHEDSYNC-01</t>
        </is>
      </c>
      <c r="B9" s="7" t="inlineStr">
        <is>
          <t>Người bệnh tải lịch của chính mình</t>
        </is>
      </c>
      <c r="C9" s="8" t="inlineStr">
        <is>
          <t>P có X (S1, S2 mở; S0 đóng 10 ngày trước; S9 đóng 40 ngày trước), Y đã ngừng, Z đã xoá, W khi cần; người khác có thuốc</t>
        </is>
      </c>
      <c r="D9" s="8" t="inlineStr">
        <is>
          <t>1. GET /patients/{P}/schedules</t>
        </is>
      </c>
      <c r="E9" s="8" t="inlineStr">
        <is>
          <t>(không query)</t>
        </is>
      </c>
      <c r="F9" s="8" t="inlineStr">
        <is>
          <t>200; items gồm S1, S2, S0, lịch của Y, sắp theo id; không có S9, Z, W, người khác; mỗi phần tử đủ 11 field, ended_at null khi mở; next_cursor null; không ghi access_logs</t>
        </is>
      </c>
      <c r="G9" s="8" t="inlineStr">
        <is>
          <t>Đúng như kỳ vọng</t>
        </is>
      </c>
      <c r="H9" s="7" t="inlineStr">
        <is>
          <t>Pass</t>
        </is>
      </c>
      <c r="I9" s="8" t="inlineStr">
        <is>
          <t>AC12 · Decision Table (R1) · test_patient_reads_own_schedules__AC12</t>
        </is>
      </c>
      <c r="K9" s="9" t="inlineStr">
        <is>
          <t>limit</t>
        </is>
      </c>
      <c r="L9" s="10" t="inlineStr">
        <is>
          <t>1..200
Không gửi (mặc định 100)</t>
        </is>
      </c>
      <c r="M9" s="10" t="inlineStr">
        <is>
          <t>1
2</t>
        </is>
      </c>
      <c r="N9" s="10" t="inlineStr">
        <is>
          <t>0
201
Không phải số</t>
        </is>
      </c>
      <c r="O9" s="10" t="inlineStr">
        <is>
          <t>5
6
7</t>
        </is>
      </c>
      <c r="Q9" s="10" t="inlineStr">
        <is>
          <t>Người gọi là chính người bệnh?</t>
        </is>
      </c>
      <c r="R9" s="11" t="inlineStr">
        <is>
          <t>Yes</t>
        </is>
      </c>
      <c r="S9" s="11" t="inlineStr">
        <is>
          <t>Yes</t>
        </is>
      </c>
      <c r="T9" s="11" t="inlineStr">
        <is>
          <t>No</t>
        </is>
      </c>
      <c r="U9" s="11" t="inlineStr">
        <is>
          <t>No</t>
        </is>
      </c>
      <c r="V9" s="11" t="inlineStr">
        <is>
          <t>No</t>
        </is>
      </c>
      <c r="W9" s="11" t="inlineStr">
        <is>
          <t>No</t>
        </is>
      </c>
    </row>
    <row r="10" ht="74" customHeight="1">
      <c r="A10" s="7" t="inlineStr">
        <is>
          <t>TC-SCHEDSYNC-02</t>
        </is>
      </c>
      <c r="B10" s="7" t="inlineStr">
        <is>
          <t>Người bệnh chưa có lịch nào</t>
        </is>
      </c>
      <c r="C10" s="8" t="inlineStr">
        <is>
          <t>P không có thuốc</t>
        </is>
      </c>
      <c r="D10" s="8" t="inlineStr">
        <is>
          <t>1. GET /patients/{P}/schedules</t>
        </is>
      </c>
      <c r="E10" s="8" t="inlineStr">
        <is>
          <t>(blank)</t>
        </is>
      </c>
      <c r="F10" s="8" t="inlineStr">
        <is>
          <t>200 {"items": [], "next_cursor": null}</t>
        </is>
      </c>
      <c r="G10" s="8" t="inlineStr">
        <is>
          <t>Đúng như kỳ vọng</t>
        </is>
      </c>
      <c r="H10" s="7" t="inlineStr">
        <is>
          <t>Pass</t>
        </is>
      </c>
      <c r="I10" s="8" t="inlineStr">
        <is>
          <t>AC12 · test_patient_without_schedules_gets_empty_page__AC12</t>
        </is>
      </c>
      <c r="K10" s="9" t="inlineStr">
        <is>
          <t>cursor</t>
        </is>
      </c>
      <c r="L10" s="10" t="inlineStr">
        <is>
          <t>next_cursor của trang trước, cùng người bệnh</t>
        </is>
      </c>
      <c r="M10" s="10" t="inlineStr">
        <is>
          <t>3</t>
        </is>
      </c>
      <c r="N10" s="10" t="inlineStr">
        <is>
          <t>Chuỗi rác
Base64 không phải JSON hợp lệ
Con trỏ của người bệnh khác
Chuỗi rỗng</t>
        </is>
      </c>
      <c r="O10" s="10" t="inlineStr">
        <is>
          <t>8
9
10
11</t>
        </is>
      </c>
      <c r="Q10" s="10" t="inlineStr">
        <is>
          <t>Consent health_data còn hiệu lực?</t>
        </is>
      </c>
      <c r="R10" s="11" t="inlineStr">
        <is>
          <t>Yes</t>
        </is>
      </c>
      <c r="S10" s="11" t="inlineStr">
        <is>
          <t>No</t>
        </is>
      </c>
      <c r="T10" s="11" t="inlineStr">
        <is>
          <t>Yes</t>
        </is>
      </c>
      <c r="U10" s="11" t="inlineStr">
        <is>
          <t>Yes</t>
        </is>
      </c>
      <c r="V10" s="11" t="inlineStr">
        <is>
          <t>No</t>
        </is>
      </c>
      <c r="W10" s="11" t="inlineStr">
        <is>
          <t>Yes</t>
        </is>
      </c>
    </row>
    <row r="11" ht="57.5" customHeight="1">
      <c r="A11" s="7" t="inlineStr">
        <is>
          <t>TC-SCHEDSYNC-03</t>
        </is>
      </c>
      <c r="B11" s="7" t="inlineStr">
        <is>
          <t>Tải theo trang với limit 2</t>
        </is>
      </c>
      <c r="C11" s="8" t="inlineStr">
        <is>
          <t>P có 5 lịch</t>
        </is>
      </c>
      <c r="D11" s="8" t="inlineStr">
        <is>
          <t>1. GET limit=2
2. Gửi next_cursor cho tới khi null</t>
        </is>
      </c>
      <c r="E11" s="8" t="inlineStr">
        <is>
          <t>limit=2</t>
        </is>
      </c>
      <c r="F11" s="8" t="inlineStr">
        <is>
          <t>3 trang (2, 2, 1); hợp các trang bằng kết quả không phân trang</t>
        </is>
      </c>
      <c r="G11" s="8" t="inlineStr">
        <is>
          <t>3 trang, đúng thứ tự</t>
        </is>
      </c>
      <c r="H11" s="7" t="inlineStr">
        <is>
          <t>Pass</t>
        </is>
      </c>
      <c r="I11" s="8" t="inlineStr">
        <is>
          <t>AC23 · EP (limit: hợp lệ; cursor: hợp lệ) · test_pagination__AC23</t>
        </is>
      </c>
      <c r="K11" s="9" t="inlineStr">
        <is>
          <t>patient_id</t>
        </is>
      </c>
      <c r="L11" s="10" t="inlineStr">
        <is>
          <t>UUID của tài khoản tồn tại</t>
        </is>
      </c>
      <c r="M11" s="10" t="inlineStr">
        <is>
          <t>4</t>
        </is>
      </c>
      <c r="N11" s="10" t="inlineStr">
        <is>
          <t>Không phải UUID
UUID không có tài khoản</t>
        </is>
      </c>
      <c r="O11" s="10" t="inlineStr">
        <is>
          <t>12
13</t>
        </is>
      </c>
      <c r="Q11" s="10" t="inlineStr">
        <is>
          <t>Liên kết active + bật chia sẻ + consent family_sharing?</t>
        </is>
      </c>
      <c r="R11" s="11" t="inlineStr">
        <is>
          <t>-</t>
        </is>
      </c>
      <c r="S11" s="11" t="inlineStr">
        <is>
          <t>-</t>
        </is>
      </c>
      <c r="T11" s="11" t="inlineStr">
        <is>
          <t>Yes</t>
        </is>
      </c>
      <c r="U11" s="11" t="inlineStr">
        <is>
          <t>No</t>
        </is>
      </c>
      <c r="V11" s="11" t="inlineStr">
        <is>
          <t>Yes</t>
        </is>
      </c>
      <c r="W11" s="11" t="inlineStr">
        <is>
          <t>No</t>
        </is>
      </c>
    </row>
    <row r="12" ht="41" customHeight="1">
      <c r="A12" s="7" t="inlineStr">
        <is>
          <t>TC-SCHEDSYNC-BVA-01</t>
        </is>
      </c>
      <c r="B12" s="7" t="inlineStr">
        <is>
          <t>limit ở biên 1 và 200</t>
        </is>
      </c>
      <c r="C12" s="8" t="inlineStr">
        <is>
          <t>P có 2 lịch</t>
        </is>
      </c>
      <c r="D12" s="8" t="inlineStr">
        <is>
          <t>1. GET limit=1
2. GET limit=200</t>
        </is>
      </c>
      <c r="E12" s="8" t="inlineStr">
        <is>
          <t>1 ; 200</t>
        </is>
      </c>
      <c r="F12" s="8" t="inlineStr">
        <is>
          <t>200; limit 1 trả 1 lịch và có next_cursor; limit 200 trả 2 lịch, next_cursor null</t>
        </is>
      </c>
      <c r="G12" s="8" t="inlineStr">
        <is>
          <t>Đúng như kỳ vọng (evidence/testcase-bva-manual.log)</t>
        </is>
      </c>
      <c r="H12" s="7" t="inlineStr">
        <is>
          <t>Pass</t>
        </is>
      </c>
      <c r="I12" s="8" t="inlineStr">
        <is>
          <t>AC23 · BVA (min, max) · manual (scratch/bva_check.py)</t>
        </is>
      </c>
      <c r="Q12" s="10" t="inlineStr">
        <is>
          <t>Người gọi là admin?</t>
        </is>
      </c>
      <c r="R12" s="11" t="inlineStr">
        <is>
          <t>-</t>
        </is>
      </c>
      <c r="S12" s="11" t="inlineStr">
        <is>
          <t>-</t>
        </is>
      </c>
      <c r="T12" s="11" t="inlineStr">
        <is>
          <t>-</t>
        </is>
      </c>
      <c r="U12" s="11" t="inlineStr">
        <is>
          <t>No</t>
        </is>
      </c>
      <c r="V12" s="11" t="inlineStr">
        <is>
          <t>-</t>
        </is>
      </c>
      <c r="W12" s="11" t="inlineStr">
        <is>
          <t>Yes</t>
        </is>
      </c>
    </row>
    <row r="13" ht="41" customHeight="1">
      <c r="A13" s="7" t="inlineStr">
        <is>
          <t>TC-SCHEDSYNC-BVA-02</t>
        </is>
      </c>
      <c r="B13" s="7" t="inlineStr">
        <is>
          <t>limit ở biên 0 và 201</t>
        </is>
      </c>
      <c r="C13" s="8" t="inlineStr">
        <is>
          <t>P bất kỳ</t>
        </is>
      </c>
      <c r="D13" s="8" t="inlineStr">
        <is>
          <t>1. GET limit=0
2. GET limit=201</t>
        </is>
      </c>
      <c r="E13" s="8" t="inlineStr">
        <is>
          <t>0 ; 201</t>
        </is>
      </c>
      <c r="F13" s="8" t="inlineStr">
        <is>
          <t>422 mảng lỗi</t>
        </is>
      </c>
      <c r="G13" s="8" t="inlineStr">
        <is>
          <t>422 cả hai</t>
        </is>
      </c>
      <c r="H13" s="7" t="inlineStr">
        <is>
          <t>Pass</t>
        </is>
      </c>
      <c r="I13" s="8" t="inlineStr">
        <is>
          <t>AC23 · BVA (min-1, max+1) · test_limit_out_of_range_422__AC23</t>
        </is>
      </c>
      <c r="Q13" s="6" t="inlineStr">
        <is>
          <t>Action</t>
        </is>
      </c>
      <c r="R13" s="5" t="inlineStr">
        <is>
          <t>R1</t>
        </is>
      </c>
      <c r="S13" s="5" t="inlineStr">
        <is>
          <t>R2</t>
        </is>
      </c>
      <c r="T13" s="5" t="inlineStr">
        <is>
          <t>R3</t>
        </is>
      </c>
      <c r="U13" s="5" t="inlineStr">
        <is>
          <t>R4</t>
        </is>
      </c>
      <c r="V13" s="5" t="inlineStr">
        <is>
          <t>R5</t>
        </is>
      </c>
      <c r="W13" s="5" t="inlineStr">
        <is>
          <t>R6</t>
        </is>
      </c>
    </row>
    <row r="14" ht="74" customHeight="1">
      <c r="A14" s="7" t="inlineStr">
        <is>
          <t>TC-SCHEDSYNC-04</t>
        </is>
      </c>
      <c r="B14" s="7" t="inlineStr">
        <is>
          <t>Con trỏ hỏng hoặc của người bệnh khác</t>
        </is>
      </c>
      <c r="C14" s="8" t="inlineStr">
        <is>
          <t>P bất kỳ</t>
        </is>
      </c>
      <c r="D14" s="8" t="inlineStr">
        <is>
          <t>1. GET với từng cursor</t>
        </is>
      </c>
      <c r="E14" s="8" t="inlineStr">
        <is>
          <t>!!! ; abc ; eyJhIjoxfQ ; con trỏ mã hoá cho UUID khác</t>
        </is>
      </c>
      <c r="F14" s="8" t="inlineStr">
        <is>
          <t>422 {"detail": "invalid_cursor"}</t>
        </is>
      </c>
      <c r="G14" s="8" t="inlineStr">
        <is>
          <t>422 invalid_cursor cả 4</t>
        </is>
      </c>
      <c r="H14" s="7" t="inlineStr">
        <is>
          <t>Pass</t>
        </is>
      </c>
      <c r="I14" s="8" t="inlineStr">
        <is>
          <t>AC23 · EP (cursor: không hợp lệ) · test_bad_cursor_422__AC23; test_cursor_of_other_patient_422__AC23</t>
        </is>
      </c>
      <c r="Q14" s="10" t="inlineStr">
        <is>
          <t>200, không ghi log</t>
        </is>
      </c>
      <c r="R14" s="11" t="inlineStr">
        <is>
          <t>X</t>
        </is>
      </c>
      <c r="S14" s="11" t="inlineStr"/>
      <c r="T14" s="11" t="inlineStr"/>
      <c r="U14" s="11" t="inlineStr"/>
      <c r="V14" s="11" t="inlineStr"/>
      <c r="W14" s="11" t="inlineStr"/>
    </row>
    <row r="15" ht="57.5" customHeight="1">
      <c r="A15" s="7" t="inlineStr">
        <is>
          <t>TC-SCHEDSYNC-05</t>
        </is>
      </c>
      <c r="B15" s="7" t="inlineStr">
        <is>
          <t>Người thân hợp lệ tải lịch qua nhiều trang</t>
        </is>
      </c>
      <c r="C15" s="8" t="inlineStr">
        <is>
          <t>F có liên kết active, bật chia sẻ; P có consent health_data, family_sharing</t>
        </is>
      </c>
      <c r="D15" s="8" t="inlineStr">
        <is>
          <t>1. F GET limit=2 tới trang cuối</t>
        </is>
      </c>
      <c r="E15" s="8" t="inlineStr">
        <is>
          <t>limit=2</t>
        </is>
      </c>
      <c r="F15" s="8" t="inlineStr">
        <is>
          <t>200 mọi trang; mỗi trang một dòng access_logs allowed, actor_role family</t>
        </is>
      </c>
      <c r="G15" s="8" t="inlineStr">
        <is>
          <t>Đúng như kỳ vọng</t>
        </is>
      </c>
      <c r="H15" s="7" t="inlineStr">
        <is>
          <t>Pass</t>
        </is>
      </c>
      <c r="I15" s="8" t="inlineStr">
        <is>
          <t>AC13 · Decision Table (R3) · test_family_allowed_logged_each_page__AC13</t>
        </is>
      </c>
      <c r="Q15" s="10" t="inlineStr">
        <is>
          <t>403 consent_revoked</t>
        </is>
      </c>
      <c r="R15" s="11" t="inlineStr"/>
      <c r="S15" s="11" t="inlineStr">
        <is>
          <t>X</t>
        </is>
      </c>
      <c r="T15" s="11" t="inlineStr"/>
      <c r="U15" s="11" t="inlineStr"/>
      <c r="V15" s="11" t="inlineStr"/>
      <c r="W15" s="11" t="inlineStr"/>
    </row>
    <row r="16" ht="57.5" customHeight="1">
      <c r="A16" s="7" t="inlineStr">
        <is>
          <t>TC-SCHEDSYNC-06</t>
        </is>
      </c>
      <c r="B16" s="7" t="inlineStr">
        <is>
          <t>Admin tải lịch của người bệnh (QD-32)</t>
        </is>
      </c>
      <c r="C16" s="8" t="inlineStr">
        <is>
          <t>Admin không có liên kết với P</t>
        </is>
      </c>
      <c r="D16" s="8" t="inlineStr">
        <is>
          <t>1. Admin GET /patients/{P}/schedules</t>
        </is>
      </c>
      <c r="E16" s="8" t="inlineStr">
        <is>
          <t>(blank)</t>
        </is>
      </c>
      <c r="F16" s="8" t="inlineStr">
        <is>
          <t>403 {"detail": "khong_co_quyen"}; access_logs denied, actor_role admin</t>
        </is>
      </c>
      <c r="G16" s="8" t="inlineStr">
        <is>
          <t>Đúng như kỳ vọng</t>
        </is>
      </c>
      <c r="H16" s="7" t="inlineStr">
        <is>
          <t>Pass</t>
        </is>
      </c>
      <c r="I16" s="8" t="inlineStr">
        <is>
          <t>AC13 · AC22 · Decision Table (R6) · test_admin_denied_logged__AC13</t>
        </is>
      </c>
      <c r="Q16" s="10" t="inlineStr">
        <is>
          <t>200 + access_logs allowed (family)</t>
        </is>
      </c>
      <c r="R16" s="11" t="inlineStr"/>
      <c r="S16" s="11" t="inlineStr"/>
      <c r="T16" s="11" t="inlineStr">
        <is>
          <t>X</t>
        </is>
      </c>
      <c r="U16" s="11" t="inlineStr"/>
      <c r="V16" s="11" t="inlineStr"/>
      <c r="W16" s="11" t="inlineStr"/>
    </row>
    <row r="17" ht="74" customHeight="1">
      <c r="A17" s="7" t="inlineStr">
        <is>
          <t>TC-SCHEDSYNC-07</t>
        </is>
      </c>
      <c r="B17" s="7" t="inlineStr">
        <is>
          <t>Người lạ tải lịch của người bệnh</t>
        </is>
      </c>
      <c r="C17" s="8" t="inlineStr">
        <is>
          <t>Q không có liên kết với P</t>
        </is>
      </c>
      <c r="D17" s="8" t="inlineStr">
        <is>
          <t>1. Q GET /patients/{P}/schedules</t>
        </is>
      </c>
      <c r="E17" s="8" t="inlineStr">
        <is>
          <t>(blank)</t>
        </is>
      </c>
      <c r="F17" s="8" t="inlineStr">
        <is>
          <t>403 khong_co_quyen; không lộ items; access_logs denied (actor Q, patient P, scope danh_sach_thuoc)</t>
        </is>
      </c>
      <c r="G17" s="8" t="inlineStr">
        <is>
          <t>Đúng như kỳ vọng</t>
        </is>
      </c>
      <c r="H17" s="7" t="inlineStr">
        <is>
          <t>Pass</t>
        </is>
      </c>
      <c r="I17" s="8" t="inlineStr">
        <is>
          <t>AC13 · Decision Table (R4) · kịch bản 'truy cập chéo khi không có liên kết' · test_unlinked_user_denied_logged__AC13</t>
        </is>
      </c>
      <c r="Q17" s="10" t="inlineStr">
        <is>
          <t>403 khong_co_quyen + access_logs denied</t>
        </is>
      </c>
      <c r="R17" s="11" t="inlineStr"/>
      <c r="S17" s="11" t="inlineStr"/>
      <c r="T17" s="11" t="inlineStr"/>
      <c r="U17" s="11" t="inlineStr">
        <is>
          <t>X</t>
        </is>
      </c>
      <c r="V17" s="11" t="inlineStr">
        <is>
          <t>X</t>
        </is>
      </c>
      <c r="W17" s="11" t="inlineStr">
        <is>
          <t>X</t>
        </is>
      </c>
    </row>
    <row r="18" ht="57.5" customHeight="1">
      <c r="A18" s="7" t="inlineStr">
        <is>
          <t>TC-SCHEDSYNC-08</t>
        </is>
      </c>
      <c r="B18" s="7" t="inlineStr">
        <is>
          <t>Người thân thiếu consent hoặc bị tắt chia sẻ</t>
        </is>
      </c>
      <c r="C18" s="8" t="inlineStr">
        <is>
          <t>Liên kết có một trong: tắt chia sẻ, thiếu family_sharing, thiếu health_data</t>
        </is>
      </c>
      <c r="D18" s="8" t="inlineStr">
        <is>
          <t>1. F GET /patients/{P}/schedules</t>
        </is>
      </c>
      <c r="E18" s="8" t="inlineStr">
        <is>
          <t>3 trường hợp</t>
        </is>
      </c>
      <c r="F18" s="8" t="inlineStr">
        <is>
          <t>403; một dòng denied khong_co_quyen</t>
        </is>
      </c>
      <c r="G18" s="8" t="inlineStr">
        <is>
          <t>Đúng như kỳ vọng cả 3</t>
        </is>
      </c>
      <c r="H18" s="7" t="inlineStr">
        <is>
          <t>Pass</t>
        </is>
      </c>
      <c r="I18" s="8" t="inlineStr">
        <is>
          <t>AC13 · Decision Table (R4, R5) · test_family_missing_consent_or_sharing_off_denied</t>
        </is>
      </c>
    </row>
    <row r="19" ht="41" customHeight="1">
      <c r="A19" s="7" t="inlineStr">
        <is>
          <t>TC-SCHEDSYNC-09</t>
        </is>
      </c>
      <c r="B19" s="7" t="inlineStr">
        <is>
          <t>Người thân đổi patient_id sang người bệnh khác</t>
        </is>
      </c>
      <c r="C19" s="8" t="inlineStr">
        <is>
          <t>F liên kết với P, không liên kết với R</t>
        </is>
      </c>
      <c r="D19" s="8" t="inlineStr">
        <is>
          <t>1. F GET /patients/{R}/schedules</t>
        </is>
      </c>
      <c r="E19" s="8" t="inlineStr">
        <is>
          <t>patient_id = R</t>
        </is>
      </c>
      <c r="F19" s="8" t="inlineStr">
        <is>
          <t>403; dòng denied ghi cho R; không có log cho P</t>
        </is>
      </c>
      <c r="G19" s="8" t="inlineStr">
        <is>
          <t>Đúng như kỳ vọng</t>
        </is>
      </c>
      <c r="H19" s="7" t="inlineStr">
        <is>
          <t>Pass</t>
        </is>
      </c>
      <c r="I19" s="8" t="inlineStr">
        <is>
          <t>Cross-patient · test_family_swaps_patient_id_denied</t>
        </is>
      </c>
    </row>
    <row r="20" ht="74" customHeight="1">
      <c r="A20" s="7" t="inlineStr">
        <is>
          <t>TC-SCHEDSYNC-10</t>
        </is>
      </c>
      <c r="B20" s="7" t="inlineStr">
        <is>
          <t>Rút quyền giữa hai trang</t>
        </is>
      </c>
      <c r="C20" s="8" t="inlineStr">
        <is>
          <t>F đã tải trang 1</t>
        </is>
      </c>
      <c r="D20" s="8" t="inlineStr">
        <is>
          <t>1. Rút health_data / family_sharing / tắt chia sẻ / hủy liên kết
2. F gửi trang 2 với next_cursor</t>
        </is>
      </c>
      <c r="E20" s="8" t="inlineStr">
        <is>
          <t>4 trường hợp</t>
        </is>
      </c>
      <c r="F20" s="8" t="inlineStr">
        <is>
          <t>Trang 2 trả 403; nhật ký: allowed rồi denied</t>
        </is>
      </c>
      <c r="G20" s="8" t="inlineStr">
        <is>
          <t>Đúng như kỳ vọng cả 4</t>
        </is>
      </c>
      <c r="H20" s="7" t="inlineStr">
        <is>
          <t>Pass</t>
        </is>
      </c>
      <c r="I20" s="8" t="inlineStr">
        <is>
          <t>AC14 · kịch bản 'rút consent hoặc hủy liên kết → 403 ngay' · test_revoke_between_pages_403__AC14</t>
        </is>
      </c>
    </row>
    <row r="21" ht="41" customHeight="1">
      <c r="A21" s="7" t="inlineStr">
        <is>
          <t>TC-SCHEDSYNC-11</t>
        </is>
      </c>
      <c r="B21" s="7" t="inlineStr">
        <is>
          <t>Ghi access log thất bại khi người thân đọc</t>
        </is>
      </c>
      <c r="C21" s="8" t="inlineStr">
        <is>
          <t>Giả lập lỗi ghi access_logs allowed</t>
        </is>
      </c>
      <c r="D21" s="8" t="inlineStr">
        <is>
          <t>1. F GET /patients/{P}/schedules</t>
        </is>
      </c>
      <c r="E21" s="8" t="inlineStr">
        <is>
          <t>append_allowed ném lỗi</t>
        </is>
      </c>
      <c r="F21" s="8" t="inlineStr">
        <is>
          <t>500; response không chứa dữ liệu lịch</t>
        </is>
      </c>
      <c r="G21" s="8" t="inlineStr">
        <is>
          <t>500, không có dữ liệu</t>
        </is>
      </c>
      <c r="H21" s="7" t="inlineStr">
        <is>
          <t>Pass</t>
        </is>
      </c>
      <c r="I21" s="8" t="inlineStr">
        <is>
          <t>Fail-closed · test_allowed_log_failure_fails_request</t>
        </is>
      </c>
    </row>
    <row r="22" ht="74" customHeight="1">
      <c r="A22" s="7" t="inlineStr">
        <is>
          <t>TC-SCHEDSYNC-12</t>
        </is>
      </c>
      <c r="B22" s="7" t="inlineStr">
        <is>
          <t>Người thân, admin, người lạ gọi endpoint ghi lịch</t>
        </is>
      </c>
      <c r="C22" s="8" t="inlineStr">
        <is>
          <t>X của P</t>
        </is>
      </c>
      <c r="D22" s="8" t="inlineStr">
        <is>
          <t>1. POST schedules
2. PATCH schedule
3. DELETE schedule
4. PATCH /medications/{X} days_of_week</t>
        </is>
      </c>
      <c r="E22" s="8" t="inlineStr">
        <is>
          <t>3 vai × 4 endpoint</t>
        </is>
      </c>
      <c r="F22" s="8" t="inlineStr">
        <is>
          <t>403 khong_co_quyen cả 4; 4 dòng denied với vai thực tế; X không đổi</t>
        </is>
      </c>
      <c r="G22" s="8" t="inlineStr">
        <is>
          <t>Đúng như kỳ vọng</t>
        </is>
      </c>
      <c r="H22" s="7" t="inlineStr">
        <is>
          <t>Pass</t>
        </is>
      </c>
      <c r="I22" s="8" t="inlineStr">
        <is>
          <t>AC15 · test_write_endpoints_denied_for_family_admin_stranger__AC15</t>
        </is>
      </c>
    </row>
    <row r="23" ht="57.5" customHeight="1">
      <c r="A23" s="7" t="inlineStr">
        <is>
          <t>TC-SCHEDSYNC-13</t>
        </is>
      </c>
      <c r="B23" s="7" t="inlineStr">
        <is>
          <t>Người bệnh đã rút consent health_data ghi hoặc đọc lịch</t>
        </is>
      </c>
      <c r="C23" s="8" t="inlineStr">
        <is>
          <t>P rút health_data</t>
        </is>
      </c>
      <c r="D23" s="8" t="inlineStr">
        <is>
          <t>1. Gọi 4 endpoint ghi
2. GET /patients/{P}/schedules</t>
        </is>
      </c>
      <c r="E23" s="8" t="inlineStr">
        <is>
          <t>(blank)</t>
        </is>
      </c>
      <c r="F23" s="8" t="inlineStr">
        <is>
          <t>403 {"detail": "consent_revoked"}; không ghi gì</t>
        </is>
      </c>
      <c r="G23" s="8" t="inlineStr">
        <is>
          <t>Đúng như kỳ vọng</t>
        </is>
      </c>
      <c r="H23" s="7" t="inlineStr">
        <is>
          <t>Pass</t>
        </is>
      </c>
      <c r="I23" s="8" t="inlineStr">
        <is>
          <t>AC15 · Decision Table (R2) · test_self_revoked_consent_cannot_write__AC15</t>
        </is>
      </c>
    </row>
    <row r="24" ht="57.5" customHeight="1">
      <c r="A24" s="7" t="inlineStr">
        <is>
          <t>TC-SCHEDSYNC-14</t>
        </is>
      </c>
      <c r="B24" s="7" t="inlineStr">
        <is>
          <t>patient_id không ứng với tài khoản nào</t>
        </is>
      </c>
      <c r="C24" s="8" t="inlineStr">
        <is>
          <t>Người dùng thường hoặc admin</t>
        </is>
      </c>
      <c r="D24" s="8" t="inlineStr">
        <is>
          <t>1. GET /patients/{UUID ngẫu nhiên}/schedules</t>
        </is>
      </c>
      <c r="E24" s="8" t="inlineStr">
        <is>
          <t>uuid4 chưa có</t>
        </is>
      </c>
      <c r="F24" s="8" t="inlineStr">
        <is>
          <t>403 khong_co_quyen; không có dòng access_logs; không 5xx</t>
        </is>
      </c>
      <c r="G24" s="8" t="inlineStr">
        <is>
          <t>Đúng như kỳ vọng cả hai vai</t>
        </is>
      </c>
      <c r="H24" s="7" t="inlineStr">
        <is>
          <t>Pass</t>
        </is>
      </c>
      <c r="I24" s="8" t="inlineStr">
        <is>
          <t>AC16 · EP (patient_id: UUID không có tài khoản) · test_unknown_patient_403_without_log__AC16</t>
        </is>
      </c>
    </row>
    <row r="25" ht="57.5" customHeight="1">
      <c r="A25" s="7" t="inlineStr">
        <is>
          <t>TC-SCHEDSYNC-15</t>
        </is>
      </c>
      <c r="B25" s="7" t="inlineStr">
        <is>
          <t>Gọi không có token hoặc token sai; thuốc đã xoá</t>
        </is>
      </c>
      <c r="C25" s="8" t="inlineStr">
        <is>
          <t>X của P</t>
        </is>
      </c>
      <c r="D25" s="8" t="inlineStr">
        <is>
          <t>1. Gọi 4 endpoint không có header và với 'Bearer x'
2. Xoá X rồi gọi 3 endpoint ghi lịch</t>
        </is>
      </c>
      <c r="E25" s="8" t="inlineStr">
        <is>
          <t>(blank) ; Bearer x</t>
        </is>
      </c>
      <c r="F25" s="8" t="inlineStr">
        <is>
          <t>401 khi thiếu hoặc sai token; 404 user_medication_not_found khi thuốc đã xoá</t>
        </is>
      </c>
      <c r="G25" s="8" t="inlineStr">
        <is>
          <t>Đúng như kỳ vọng</t>
        </is>
      </c>
      <c r="H25" s="7" t="inlineStr">
        <is>
          <t>Pass</t>
        </is>
      </c>
      <c r="I25" s="8" t="inlineStr">
        <is>
          <t>AC16 · test_unauthenticated_401_and_unknown_medication_404__AC16</t>
        </is>
      </c>
    </row>
    <row r="26" ht="57.5" customHeight="1">
      <c r="A26" s="7" t="inlineStr">
        <is>
          <t>TC-SCHEDSYNC-16</t>
        </is>
      </c>
      <c r="B26" s="7" t="inlineStr">
        <is>
          <t>patient_id sai định dạng</t>
        </is>
      </c>
      <c r="C26" s="8" t="inlineStr">
        <is>
          <t>Đã đăng nhập</t>
        </is>
      </c>
      <c r="D26" s="8" t="inlineStr">
        <is>
          <t>1. GET /patients/abc/schedules</t>
        </is>
      </c>
      <c r="E26" s="8" t="inlineStr">
        <is>
          <t>abc</t>
        </is>
      </c>
      <c r="F26" s="8" t="inlineStr">
        <is>
          <t>422 mảng lỗi</t>
        </is>
      </c>
      <c r="G26" s="8" t="inlineStr">
        <is>
          <t>422 mảng lỗi</t>
        </is>
      </c>
      <c r="H26" s="7" t="inlineStr">
        <is>
          <t>Pass</t>
        </is>
      </c>
      <c r="I26" s="8" t="inlineStr">
        <is>
          <t>AC16 · EP (patient_id: không phải UUID) · tests/unit test_patient_id_must_be_uuid</t>
        </is>
      </c>
    </row>
    <row r="27" ht="57.5" customHeight="1">
      <c r="A27" s="7" t="inlineStr">
        <is>
          <t>TC-SCHEDSYNC-17</t>
        </is>
      </c>
      <c r="B27" s="7" t="inlineStr">
        <is>
          <t>Admin xem một thuốc của người bệnh (QD-32)</t>
        </is>
      </c>
      <c r="C27" s="8" t="inlineStr">
        <is>
          <t>X của P; admin không có liên kết</t>
        </is>
      </c>
      <c r="D27" s="8" t="inlineStr">
        <is>
          <t>1. Admin GET /medications/{X}
2. Admin PATCH /medications/{X}</t>
        </is>
      </c>
      <c r="E27" s="8" t="inlineStr">
        <is>
          <t>{"quantity_per_dose": 3}</t>
        </is>
      </c>
      <c r="F27" s="8" t="inlineStr">
        <is>
          <t>403 cả hai; 2 dòng denied actor_role admin</t>
        </is>
      </c>
      <c r="G27" s="8" t="inlineStr">
        <is>
          <t>Đúng như kỳ vọng</t>
        </is>
      </c>
      <c r="H27" s="7" t="inlineStr">
        <is>
          <t>Pass</t>
        </is>
      </c>
      <c r="I27" s="8" t="inlineStr">
        <is>
          <t>AC22 · test_admin_get_medication_403_denied__AC22; test_admin_cannot_read_or_write__AC15_QD32</t>
        </is>
      </c>
    </row>
    <row r="28" ht="57.5" customHeight="1">
      <c r="A28" s="7" t="inlineStr">
        <is>
          <t>TC-SCHEDSYNC-18</t>
        </is>
      </c>
      <c r="B28" s="7" t="inlineStr">
        <is>
          <t>Admin xác nhận liều hộ (QD-32)</t>
        </is>
      </c>
      <c r="C28" s="8" t="inlineStr">
        <is>
          <t>Lịch S1 của P; admin không có liên kết</t>
        </is>
      </c>
      <c r="D28" s="8" t="inlineStr">
        <is>
          <t>1. Admin POST /doses/batch với một liều của S1</t>
        </is>
      </c>
      <c r="E28" s="8" t="inlineStr">
        <is>
          <t>schedule_id = S1, scheduled_at = 5 phút trước</t>
        </is>
      </c>
      <c r="F28" s="8" t="inlineStr">
        <is>
          <t>200; item result failed, http_status 403; không có dose_logs; access_logs denied admin, scope lich_su_tuan_thu</t>
        </is>
      </c>
      <c r="G28" s="8" t="inlineStr">
        <is>
          <t>Đúng như kỳ vọng</t>
        </is>
      </c>
      <c r="H28" s="7" t="inlineStr">
        <is>
          <t>Pass</t>
        </is>
      </c>
      <c r="I28" s="8" t="inlineStr">
        <is>
          <t>AC22 · test_admin_dose_batch_rejected__AC22</t>
        </is>
      </c>
    </row>
    <row r="29" ht="57.5" customHeight="1">
      <c r="A29" s="7" t="inlineStr">
        <is>
          <t>TC-SCHEDSYNC-19</t>
        </is>
      </c>
      <c r="B29" s="7" t="inlineStr">
        <is>
          <t>App người thân không lưu lịch xuống máy (QD-29)</t>
        </is>
      </c>
      <c r="C29" s="8" t="inlineStr">
        <is>
          <t>App mobile của người thân đã nối GET /patients/{id}/schedules</t>
        </is>
      </c>
      <c r="D29" s="8" t="inlineStr">
        <is>
          <t>1. Người thân mở lịch của người bệnh
2. Tắt mạng, đóng và mở lại app
3. Kiểm tra CSDL cục bộ</t>
        </is>
      </c>
      <c r="E29" s="8" t="inlineStr">
        <is>
          <t>(blank)</t>
        </is>
      </c>
      <c r="F29" s="8" t="inlineStr">
        <is>
          <t>Không có lịch của người bệnh trong CSDL cục bộ; chỉ giữ trong phiên</t>
        </is>
      </c>
      <c r="G29" s="8" t="inlineStr"/>
      <c r="H29" s="7" t="inlineStr">
        <is>
          <t>Pending</t>
        </is>
      </c>
      <c r="I29" s="8" t="inlineStr">
        <is>
          <t>QD-29 · manual · cần app mobile (chưa có task nối API)</t>
        </is>
      </c>
    </row>
    <row r="30"/>
    <row r="31"/>
    <row r="32">
      <c r="G32" s="12" t="inlineStr">
        <is>
          <t>Pass</t>
        </is>
      </c>
      <c r="H32" s="13">
        <f>COUNTIF(H9:H29,"Pass")</f>
        <v/>
      </c>
    </row>
    <row r="33">
      <c r="G33" s="12" t="inlineStr">
        <is>
          <t>Fail</t>
        </is>
      </c>
      <c r="H33" s="13">
        <f>COUNTIF(H9:H29,"Fail")</f>
        <v/>
      </c>
    </row>
    <row r="34">
      <c r="G34" s="12" t="inlineStr">
        <is>
          <t>Pending</t>
        </is>
      </c>
      <c r="H34" s="13">
        <f>COUNTIF(H9:H29,"Pending")</f>
        <v/>
      </c>
    </row>
    <row r="35">
      <c r="G35" s="12" t="inlineStr">
        <is>
          <t>Total</t>
        </is>
      </c>
      <c r="H35" s="13">
        <f>SUM(H32:H34)</f>
        <v/>
      </c>
    </row>
  </sheetData>
  <autoFilter ref="A8:I29"/>
  <conditionalFormatting sqref="H9:H29">
    <cfRule type="cellIs" priority="1" operator="equal" dxfId="0">
      <formula>"Fail"</formula>
    </cfRule>
  </conditionalFormatting>
  <dataValidations count="1">
    <dataValidation sqref="H9:H29" showDropDown="0" showInputMessage="0" showErrorMessage="0" allowBlank="0" type="list">
      <formula1>"Pass,Fail,Pending"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5"/>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Danh mục tương tác thuốc-thuốc (admin) (DDIRULE)</t>
        </is>
      </c>
    </row>
    <row r="3">
      <c r="A3" s="1" t="inlineStr">
        <is>
          <t>Created By</t>
        </is>
      </c>
      <c r="B3" s="2" t="inlineStr">
        <is>
          <t>zannguyen</t>
        </is>
      </c>
    </row>
    <row r="4">
      <c r="A4" s="1" t="inlineStr">
        <is>
          <t>Creation Date</t>
        </is>
      </c>
      <c r="B4" s="21" t="n">
        <v>46307</v>
      </c>
    </row>
    <row r="5">
      <c r="A5" s="1" t="inlineStr">
        <is>
          <t>Reviewed By</t>
        </is>
      </c>
      <c r="B5" s="2" t="inlineStr"/>
    </row>
    <row r="6">
      <c r="A6" s="1" t="inlineStr">
        <is>
          <t>Reviewed Date</t>
        </is>
      </c>
      <c r="B6" s="2" t="n"/>
    </row>
    <row r="7">
      <c r="K7" s="4" t="inlineStr">
        <is>
          <t>Equivalence Partitioning</t>
        </is>
      </c>
      <c r="Q7" s="4" t="inlineStr">
        <is>
          <t>Quyền gọi endpoint /admin/drug-interactions</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row>
    <row r="9" ht="107" customHeight="1">
      <c r="A9" s="7" t="inlineStr">
        <is>
          <t>TC-DDIRULE-01</t>
        </is>
      </c>
      <c r="B9" s="7" t="inlineStr">
        <is>
          <t>Tạo quy tắc chống chỉ định giữa hai hoạt chất trong danh mục</t>
        </is>
      </c>
      <c r="C9" s="8" t="inlineStr">
        <is>
          <t>Đăng nhập admin (phiên admin_web); hoạt chất X, Y có trong danh mục</t>
        </is>
      </c>
      <c r="D9" s="8" t="inlineStr">
        <is>
          <t>1. POST /admin/drug-interactions với A = X, B = Y, chong_chi_dinh, mức 4, tranh_phoi_hop, mô tả, nguồn
2. Kiểm dòng DB của phiên bản vừa tạo</t>
        </is>
      </c>
      <c r="E9" s="8" t="inlineStr">
        <is>
          <t>{ingredient_a_id: X, ingredient_b_id: Y, interaction_type: chong_chi_dinh, severity_level: 4, handling_type: tranh_phoi_hop}</t>
        </is>
      </c>
      <c r="F9" s="8" t="inlineStr">
        <is>
          <t>201; version = 1, state = current; ingredient_a/ingredient_b có id và standard_name; verification_status = da_xac_minh; updated_by.id = admin. DB: ingredient_b_in_table_a = co, deleted_at rỗng, created_by = admin</t>
        </is>
      </c>
      <c r="G9" s="8" t="inlineStr">
        <is>
          <t>201 và các giá trị đúng như mong đợi</t>
        </is>
      </c>
      <c r="H9" s="7" t="inlineStr">
        <is>
          <t>Pass</t>
        </is>
      </c>
      <c r="I9" s="8" t="inlineStr">
        <is>
          <t>AC1 · EP (1) · test_create_with_catalog_ingredient_b__AC1</t>
        </is>
      </c>
      <c r="K9" s="9" t="inlineStr">
        <is>
          <t>Hoạt chất B</t>
        </is>
      </c>
      <c r="L9" s="10" t="inlineStr">
        <is>
          <t>ingredient_b_id có trong danh mục, khác A
ingredient_b_external_name (chất ngoài danh mục)</t>
        </is>
      </c>
      <c r="M9" s="10" t="inlineStr">
        <is>
          <t>1
2</t>
        </is>
      </c>
      <c r="N9" s="10" t="inlineStr">
        <is>
          <t>gửi cả hai
không gửi cả hai
id không tồn tại
B trùng A</t>
        </is>
      </c>
      <c r="O9" s="10" t="inlineStr">
        <is>
          <t>9
10
11
12</t>
        </is>
      </c>
      <c r="Q9" s="10" t="inlineStr">
        <is>
          <t>Có token hợp lệ?</t>
        </is>
      </c>
      <c r="R9" s="11" t="inlineStr">
        <is>
          <t>No</t>
        </is>
      </c>
      <c r="S9" s="11" t="inlineStr">
        <is>
          <t>Yes</t>
        </is>
      </c>
      <c r="T9" s="11" t="inlineStr">
        <is>
          <t>Yes</t>
        </is>
      </c>
    </row>
    <row r="10" ht="57.5" customHeight="1">
      <c r="A10" s="7" t="inlineStr">
        <is>
          <t>TC-DDIRULE-02</t>
        </is>
      </c>
      <c r="B10" s="7" t="inlineStr">
        <is>
          <t>Tạo quy tắc với hoạt chất B là chất ngoài danh mục</t>
        </is>
      </c>
      <c r="C10" s="8" t="inlineStr">
        <is>
          <t>Admin; hoạt chất X có trong danh mục</t>
        </is>
      </c>
      <c r="D10" s="8" t="inlineStr">
        <is>
          <t>1. POST /admin/drug-interactions với ingredient_b_external_name = "Rượu", không gửi ingredient_b_id</t>
        </is>
      </c>
      <c r="E10" s="8" t="inlineStr">
        <is>
          <t>ingredient_b_external_name: Rượu</t>
        </is>
      </c>
      <c r="F10" s="8" t="inlineStr">
        <is>
          <t>201; ingredient_b = null, ingredient_b_external_name = Rượu; DB: ingredient_b_id rỗng, ingredient_b_in_table_a = khong</t>
        </is>
      </c>
      <c r="G10" s="8" t="inlineStr">
        <is>
          <t>201, DB đúng như mong đợi</t>
        </is>
      </c>
      <c r="H10" s="7" t="inlineStr">
        <is>
          <t>Pass</t>
        </is>
      </c>
      <c r="I10" s="8" t="inlineStr">
        <is>
          <t>AC2 · EP (2) · test_create_with_external_ingredient_b__AC2</t>
        </is>
      </c>
      <c r="K10" s="9" t="inlineStr">
        <is>
          <t>severity_level</t>
        </is>
      </c>
      <c r="L10" s="10" t="inlineStr">
        <is>
          <t>1–4</t>
        </is>
      </c>
      <c r="M10" s="10" t="inlineStr">
        <is>
          <t>3</t>
        </is>
      </c>
      <c r="N10" s="10" t="inlineStr">
        <is>
          <t>&lt; 1
&gt; 4
chong_chi_dinh mà khác 4</t>
        </is>
      </c>
      <c r="O10" s="10" t="inlineStr">
        <is>
          <t>13
14
15</t>
        </is>
      </c>
      <c r="Q10" s="10" t="inlineStr">
        <is>
          <t>system_role = admin?</t>
        </is>
      </c>
      <c r="R10" s="11" t="inlineStr">
        <is>
          <t>-</t>
        </is>
      </c>
      <c r="S10" s="11" t="inlineStr">
        <is>
          <t>No</t>
        </is>
      </c>
      <c r="T10" s="11" t="inlineStr">
        <is>
          <t>Yes</t>
        </is>
      </c>
    </row>
    <row r="11" ht="107" customHeight="1">
      <c r="A11" s="7" t="inlineStr">
        <is>
          <t>TC-DDIRULE-03</t>
        </is>
      </c>
      <c r="B11" s="7" t="inlineStr">
        <is>
          <t>Tạo, thay và giữ ngưỡng liều của quy tắc phụ thuộc liều</t>
        </is>
      </c>
      <c r="C11" s="8" t="inlineStr">
        <is>
          <t>Admin; hoạt chất X, Y</t>
        </is>
      </c>
      <c r="D11" s="8" t="inlineStr">
        <is>
          <t>1. POST với 2 ngưỡng (A 0–100 mg/ngày mức 2; B ≥300 mg/ngày mức 4)
2. GET /admin/drug-interactions/{id}
3. PATCH gửi dose_thresholds 1 ngưỡng (A 50–60)
4. PATCH chỉ đổi description</t>
        </is>
      </c>
      <c r="E11" s="8" t="inlineStr">
        <is>
          <t>dose_thresholds như bước</t>
        </is>
      </c>
      <c r="F11" s="8" t="inlineStr">
        <is>
          <t>GET trả đủ 2 ngưỡng; sau PATCH thứ nhất chỉ còn ngưỡng 50–60; sau PATCH thứ hai ngưỡng giữ nguyên</t>
        </is>
      </c>
      <c r="G11" s="8" t="inlineStr">
        <is>
          <t>Đúng như mong đợi</t>
        </is>
      </c>
      <c r="H11" s="7" t="inlineStr">
        <is>
          <t>Pass</t>
        </is>
      </c>
      <c r="I11" s="8" t="inlineStr">
        <is>
          <t>AC3 · test_dose_thresholds_create_replace_keep__AC3</t>
        </is>
      </c>
      <c r="K11" s="9" t="inlineStr">
        <is>
          <t>min_interval_hours</t>
        </is>
      </c>
      <c r="L11" s="10" t="inlineStr">
        <is>
          <t>null
0 &lt; số giờ ≤ 168 với cach_gio</t>
        </is>
      </c>
      <c r="M11" s="10" t="inlineStr">
        <is>
          <t>4
5</t>
        </is>
      </c>
      <c r="N11" s="10" t="inlineStr">
        <is>
          <t>≤ 0
&gt; 168
có giá trị mà handling_type khác cach_gio</t>
        </is>
      </c>
      <c r="O11" s="10" t="inlineStr">
        <is>
          <t>16
17
18</t>
        </is>
      </c>
      <c r="Q11" s="6" t="inlineStr">
        <is>
          <t>Action</t>
        </is>
      </c>
      <c r="R11" s="5" t="inlineStr">
        <is>
          <t>R1</t>
        </is>
      </c>
      <c r="S11" s="5" t="inlineStr">
        <is>
          <t>R2</t>
        </is>
      </c>
      <c r="T11" s="5" t="inlineStr">
        <is>
          <t>R3</t>
        </is>
      </c>
    </row>
    <row r="12" ht="123.5" customHeight="1">
      <c r="A12" s="7" t="inlineStr">
        <is>
          <t>TC-DDIRULE-04</t>
        </is>
      </c>
      <c r="B12" s="7" t="inlineStr">
        <is>
          <t>Từ chối tạo quy tắc có A trùng B</t>
        </is>
      </c>
      <c r="C12" s="8" t="inlineStr">
        <is>
          <t>Admin; hoạt chất X</t>
        </is>
      </c>
      <c r="D12" s="8" t="inlineStr">
        <is>
          <t>1. POST với ingredient_a_id = ingredient_b_id = X
2. Đếm quy tắc và ngưỡng chạm X</t>
        </is>
      </c>
      <c r="E12" s="8" t="inlineStr">
        <is>
          <t>A = B = X</t>
        </is>
      </c>
      <c r="F12" s="8" t="inlineStr">
        <is>
          <t>422 {"detail": "same_ingredient"}; không có dòng mới</t>
        </is>
      </c>
      <c r="G12" s="8" t="inlineStr">
        <is>
          <t>422 same_ingredient; số dòng không đổi</t>
        </is>
      </c>
      <c r="H12" s="7" t="inlineStr">
        <is>
          <t>Pass</t>
        </is>
      </c>
      <c r="I12" s="8" t="inlineStr">
        <is>
          <t>AC4 · EP (12) · test_validation_errors_write_nothing__AC4</t>
        </is>
      </c>
      <c r="K12" s="9" t="inlineStr">
        <is>
          <t>dose_thresholds</t>
        </is>
      </c>
      <c r="L12" s="10" t="inlineStr">
        <is>
          <t>0–20 ngưỡng hợp lệ với phu_thuoc_lieu</t>
        </is>
      </c>
      <c r="M12" s="10" t="inlineStr">
        <is>
          <t>6</t>
        </is>
      </c>
      <c r="N12" s="10" t="inlineStr">
        <is>
          <t>&gt; 20 ngưỡng
min_dose &gt; max_dose
thiếu cả min và max
liều âm
ingredient_ref = B khi B ngoài danh mục
có ngưỡng với chong_chi_dinh</t>
        </is>
      </c>
      <c r="O12" s="10" t="inlineStr">
        <is>
          <t>19
20
21
22
23
24</t>
        </is>
      </c>
      <c r="Q12" s="10" t="inlineStr">
        <is>
          <t>401</t>
        </is>
      </c>
      <c r="R12" s="11" t="inlineStr">
        <is>
          <t>X</t>
        </is>
      </c>
      <c r="S12" s="11" t="inlineStr"/>
      <c r="T12" s="11" t="inlineStr"/>
    </row>
    <row r="13" ht="41" customHeight="1">
      <c r="A13" s="7" t="inlineStr">
        <is>
          <t>TC-DDIRULE-05</t>
        </is>
      </c>
      <c r="B13" s="7" t="inlineStr">
        <is>
          <t>Từ chối tạo quy tắc với id hoạt chất không tồn tại</t>
        </is>
      </c>
      <c r="C13" s="8" t="inlineStr">
        <is>
          <t>Admin</t>
        </is>
      </c>
      <c r="D13" s="8" t="inlineStr">
        <is>
          <t>1. POST với ingredient_b_id = 2000000000</t>
        </is>
      </c>
      <c r="E13" s="8" t="inlineStr">
        <is>
          <t>ingredient_b_id: 2000000000</t>
        </is>
      </c>
      <c r="F13" s="8" t="inlineStr">
        <is>
          <t>422 {"detail": "active_ingredient_not_found"}; không có dòng mới</t>
        </is>
      </c>
      <c r="G13" s="8" t="inlineStr">
        <is>
          <t>422 active_ingredient_not_found</t>
        </is>
      </c>
      <c r="H13" s="7" t="inlineStr">
        <is>
          <t>Pass</t>
        </is>
      </c>
      <c r="I13" s="8" t="inlineStr">
        <is>
          <t>AC4 · EP (11) · test_validation_errors_write_nothing__AC4</t>
        </is>
      </c>
      <c r="K13" s="9" t="inlineStr">
        <is>
          <t>verification_status (request)</t>
        </is>
      </c>
      <c r="L13" s="10" t="inlineStr">
        <is>
          <t>không gửi</t>
        </is>
      </c>
      <c r="M13" s="10" t="inlineStr">
        <is>
          <t>7</t>
        </is>
      </c>
      <c r="N13" s="10" t="inlineStr">
        <is>
          <t>gửi bất kỳ giá trị</t>
        </is>
      </c>
      <c r="O13" s="10" t="inlineStr">
        <is>
          <t>25</t>
        </is>
      </c>
      <c r="Q13" s="10" t="inlineStr">
        <is>
          <t>403 admin_only, không ghi gì</t>
        </is>
      </c>
      <c r="R13" s="11" t="inlineStr"/>
      <c r="S13" s="11" t="inlineStr">
        <is>
          <t>X</t>
        </is>
      </c>
      <c r="T13" s="11" t="inlineStr"/>
    </row>
    <row r="14" ht="41" customHeight="1">
      <c r="A14" s="7" t="inlineStr">
        <is>
          <t>TC-DDIRULE-06</t>
        </is>
      </c>
      <c r="B14" s="7" t="inlineStr">
        <is>
          <t>Từ chối gửi cả ingredient_b_id và ingredient_b_external_name</t>
        </is>
      </c>
      <c r="C14" s="8" t="inlineStr">
        <is>
          <t>Admin; X, Y</t>
        </is>
      </c>
      <c r="D14" s="8" t="inlineStr">
        <is>
          <t>1. POST với cả ingredient_b_id = Y và ingredient_b_external_name = Rượu</t>
        </is>
      </c>
      <c r="E14" s="8" t="inlineStr">
        <is>
          <t>cả hai field B</t>
        </is>
      </c>
      <c r="F14" s="8" t="inlineStr">
        <is>
          <t>422 ValidationError (detail là mảng lỗi theo field); không có dòng mới</t>
        </is>
      </c>
      <c r="G14" s="8" t="inlineStr">
        <is>
          <t>422 ValidationError</t>
        </is>
      </c>
      <c r="H14" s="7" t="inlineStr">
        <is>
          <t>Pass</t>
        </is>
      </c>
      <c r="I14" s="8" t="inlineStr">
        <is>
          <t>AC4 · EP (9) · test_validation_errors_write_nothing__AC4</t>
        </is>
      </c>
      <c r="K14" s="9" t="inlineStr">
        <is>
          <t>expected_version (PATCH/DELETE)</t>
        </is>
      </c>
      <c r="L14" s="10" t="inlineStr">
        <is>
          <t>bằng phiên bản hiện hành</t>
        </is>
      </c>
      <c r="M14" s="10" t="inlineStr">
        <is>
          <t>8</t>
        </is>
      </c>
      <c r="N14" s="10" t="inlineStr">
        <is>
          <t>phiên bản cũ
thiếu</t>
        </is>
      </c>
      <c r="O14" s="10" t="inlineStr">
        <is>
          <t>26
27</t>
        </is>
      </c>
      <c r="Q14" s="10" t="inlineStr">
        <is>
          <t>Xử lý theo nghiệp vụ</t>
        </is>
      </c>
      <c r="R14" s="11" t="inlineStr"/>
      <c r="S14" s="11" t="inlineStr"/>
      <c r="T14" s="11" t="inlineStr">
        <is>
          <t>X</t>
        </is>
      </c>
    </row>
    <row r="15" ht="41" customHeight="1">
      <c r="A15" s="7" t="inlineStr">
        <is>
          <t>TC-DDIRULE-07</t>
        </is>
      </c>
      <c r="B15" s="7" t="inlineStr">
        <is>
          <t>Từ chối không gửi hoạt chất B</t>
        </is>
      </c>
      <c r="C15" s="8" t="inlineStr">
        <is>
          <t>Admin; X</t>
        </is>
      </c>
      <c r="D15" s="8" t="inlineStr">
        <is>
          <t>1. POST không có ingredient_b_id lẫn ingredient_b_external_name</t>
        </is>
      </c>
      <c r="E15" s="8" t="inlineStr">
        <is>
          <t>thiếu B</t>
        </is>
      </c>
      <c r="F15" s="8" t="inlineStr">
        <is>
          <t>422 ValidationError</t>
        </is>
      </c>
      <c r="G15" s="8" t="inlineStr">
        <is>
          <t>422 ValidationError</t>
        </is>
      </c>
      <c r="H15" s="7" t="inlineStr">
        <is>
          <t>Pass</t>
        </is>
      </c>
      <c r="I15" s="8" t="inlineStr">
        <is>
          <t>AC4 · EP (10) · test_create_without_b_422 (unit)</t>
        </is>
      </c>
    </row>
    <row r="16" ht="41" customHeight="1">
      <c r="A16" s="7" t="inlineStr">
        <is>
          <t>TC-DDIRULE-08</t>
        </is>
      </c>
      <c r="B16" s="7" t="inlineStr">
        <is>
          <t>Từ chối chống chỉ định với mức độ khác 4</t>
        </is>
      </c>
      <c r="C16" s="8" t="inlineStr">
        <is>
          <t>Admin; X, Y</t>
        </is>
      </c>
      <c r="D16" s="8" t="inlineStr">
        <is>
          <t>1. POST interaction_type = chong_chi_dinh, severity_level = 2</t>
        </is>
      </c>
      <c r="E16" s="8" t="inlineStr">
        <is>
          <t>chong_chi_dinh, mức 2</t>
        </is>
      </c>
      <c r="F16" s="8" t="inlineStr">
        <is>
          <t>422 {"detail": "contraindication_severity_mismatch"}</t>
        </is>
      </c>
      <c r="G16" s="8" t="inlineStr">
        <is>
          <t>422 contraindication_severity_mismatch</t>
        </is>
      </c>
      <c r="H16" s="7" t="inlineStr">
        <is>
          <t>Pass</t>
        </is>
      </c>
      <c r="I16" s="8" t="inlineStr">
        <is>
          <t>AC4 · EP (15) · test_validation_errors_write_nothing__AC4</t>
        </is>
      </c>
    </row>
    <row r="17" ht="41" customHeight="1">
      <c r="A17" s="7" t="inlineStr">
        <is>
          <t>TC-DDIRULE-09</t>
        </is>
      </c>
      <c r="B17" s="7" t="inlineStr">
        <is>
          <t>Từ chối chống chỉ định kèm ngưỡng liều</t>
        </is>
      </c>
      <c r="C17" s="8" t="inlineStr">
        <is>
          <t>Admin; X, Y</t>
        </is>
      </c>
      <c r="D17" s="8" t="inlineStr">
        <is>
          <t>1. POST chong_chi_dinh, mức 4, có 1 ngưỡng</t>
        </is>
      </c>
      <c r="E17" s="8" t="inlineStr">
        <is>
          <t>chong_chi_dinh + dose_thresholds[1]</t>
        </is>
      </c>
      <c r="F17" s="8" t="inlineStr">
        <is>
          <t>422 {"detail": "threshold_not_allowed"}</t>
        </is>
      </c>
      <c r="G17" s="8" t="inlineStr">
        <is>
          <t>422 threshold_not_allowed</t>
        </is>
      </c>
      <c r="H17" s="7" t="inlineStr">
        <is>
          <t>Pass</t>
        </is>
      </c>
      <c r="I17" s="8" t="inlineStr">
        <is>
          <t>AC4 · EP (24) · test_validation_errors_write_nothing__AC4</t>
        </is>
      </c>
      <c r="Q17" s="4" t="inlineStr">
        <is>
          <t>Kết quả PATCH theo phiên bản và nội dung</t>
        </is>
      </c>
    </row>
    <row r="18" ht="41" customHeight="1">
      <c r="A18" s="7" t="inlineStr">
        <is>
          <t>TC-DDIRULE-10</t>
        </is>
      </c>
      <c r="B18" s="7" t="inlineStr">
        <is>
          <t>Từ chối ngưỡng có min_dose lớn hơn max_dose</t>
        </is>
      </c>
      <c r="C18" s="8" t="inlineStr">
        <is>
          <t>Admin; X, Y</t>
        </is>
      </c>
      <c r="D18" s="8" t="inlineStr">
        <is>
          <t>1. POST với ngưỡng min_dose = 100, max_dose = 50</t>
        </is>
      </c>
      <c r="E18" s="8" t="inlineStr">
        <is>
          <t>min 100, max 50</t>
        </is>
      </c>
      <c r="F18" s="8" t="inlineStr">
        <is>
          <t>422 {"detail": "threshold_range_invalid"}</t>
        </is>
      </c>
      <c r="G18" s="8" t="inlineStr">
        <is>
          <t>422 threshold_range_invalid</t>
        </is>
      </c>
      <c r="H18" s="7" t="inlineStr">
        <is>
          <t>Pass</t>
        </is>
      </c>
      <c r="I18" s="8" t="inlineStr">
        <is>
          <t>AC4 · EP (20) · test_validation_errors_write_nothing__AC4</t>
        </is>
      </c>
      <c r="Q18" s="6" t="inlineStr">
        <is>
          <t>Rule</t>
        </is>
      </c>
      <c r="R18" s="5" t="inlineStr">
        <is>
          <t>R1</t>
        </is>
      </c>
      <c r="S18" s="5" t="inlineStr">
        <is>
          <t>R2</t>
        </is>
      </c>
      <c r="T18" s="5" t="inlineStr">
        <is>
          <t>R3</t>
        </is>
      </c>
      <c r="U18" s="5" t="inlineStr">
        <is>
          <t>R4</t>
        </is>
      </c>
    </row>
    <row r="19" ht="41" customHeight="1">
      <c r="A19" s="7" t="inlineStr">
        <is>
          <t>TC-DDIRULE-11</t>
        </is>
      </c>
      <c r="B19" s="7" t="inlineStr">
        <is>
          <t>Từ chối ngưỡng thiếu cả min_dose và max_dose</t>
        </is>
      </c>
      <c r="C19" s="8" t="inlineStr">
        <is>
          <t>Admin; X, Y</t>
        </is>
      </c>
      <c r="D19" s="8" t="inlineStr">
        <is>
          <t>1. POST với ngưỡng không có min_dose, max_dose</t>
        </is>
      </c>
      <c r="E19" s="8" t="inlineStr">
        <is>
          <t>ngưỡng không có khoảng liều</t>
        </is>
      </c>
      <c r="F19" s="8" t="inlineStr">
        <is>
          <t>422 ValidationError</t>
        </is>
      </c>
      <c r="G19" s="8" t="inlineStr">
        <is>
          <t>422 ValidationError</t>
        </is>
      </c>
      <c r="H19" s="7" t="inlineStr">
        <is>
          <t>Pass</t>
        </is>
      </c>
      <c r="I19" s="8" t="inlineStr">
        <is>
          <t>AC4 · EP (21) · test_validation_errors_write_nothing__AC4</t>
        </is>
      </c>
      <c r="Q19" s="10" t="inlineStr">
        <is>
          <t>Quy tắc tồn tại, chưa xóa?</t>
        </is>
      </c>
      <c r="R19" s="11" t="inlineStr">
        <is>
          <t>No</t>
        </is>
      </c>
      <c r="S19" s="11" t="inlineStr">
        <is>
          <t>Yes</t>
        </is>
      </c>
      <c r="T19" s="11" t="inlineStr">
        <is>
          <t>Yes</t>
        </is>
      </c>
      <c r="U19" s="11" t="inlineStr">
        <is>
          <t>Yes</t>
        </is>
      </c>
    </row>
    <row r="20" ht="41" customHeight="1">
      <c r="A20" s="7" t="inlineStr">
        <is>
          <t>TC-DDIRULE-12</t>
        </is>
      </c>
      <c r="B20" s="7" t="inlineStr">
        <is>
          <t>Từ chối ngưỡng có liều âm</t>
        </is>
      </c>
      <c r="C20" s="8" t="inlineStr">
        <is>
          <t>Admin; X, Y</t>
        </is>
      </c>
      <c r="D20" s="8" t="inlineStr">
        <is>
          <t>1. POST với ngưỡng min_dose = -1</t>
        </is>
      </c>
      <c r="E20" s="8" t="inlineStr">
        <is>
          <t>min_dose: -1</t>
        </is>
      </c>
      <c r="F20" s="8" t="inlineStr">
        <is>
          <t>422 ValidationError</t>
        </is>
      </c>
      <c r="G20" s="8" t="inlineStr">
        <is>
          <t>422 ValidationError</t>
        </is>
      </c>
      <c r="H20" s="7" t="inlineStr">
        <is>
          <t>Pass</t>
        </is>
      </c>
      <c r="I20" s="8" t="inlineStr">
        <is>
          <t>AC4 · EP (22) · test_create_structure_errors_422 (unit)</t>
        </is>
      </c>
      <c r="Q20" s="10" t="inlineStr">
        <is>
          <t>expected_version = hiện hành?</t>
        </is>
      </c>
      <c r="R20" s="11" t="inlineStr">
        <is>
          <t>-</t>
        </is>
      </c>
      <c r="S20" s="11" t="inlineStr">
        <is>
          <t>No</t>
        </is>
      </c>
      <c r="T20" s="11" t="inlineStr">
        <is>
          <t>Yes</t>
        </is>
      </c>
      <c r="U20" s="11" t="inlineStr">
        <is>
          <t>Yes</t>
        </is>
      </c>
    </row>
    <row r="21" ht="57.5" customHeight="1">
      <c r="A21" s="7" t="inlineStr">
        <is>
          <t>TC-DDIRULE-13</t>
        </is>
      </c>
      <c r="B21" s="7" t="inlineStr">
        <is>
          <t>Từ chối ngưỡng cho hoạt chất B khi B là chất ngoài danh mục</t>
        </is>
      </c>
      <c r="C21" s="8" t="inlineStr">
        <is>
          <t>Admin; X</t>
        </is>
      </c>
      <c r="D21" s="8" t="inlineStr">
        <is>
          <t>1. POST B = Rượu (tên ngoài), ngưỡng ingredient_ref = B
2. Đếm dòng chạm X</t>
        </is>
      </c>
      <c r="E21" s="8" t="inlineStr">
        <is>
          <t>ingredient_ref: B</t>
        </is>
      </c>
      <c r="F21" s="8" t="inlineStr">
        <is>
          <t>422 {"detail": "threshold_ref_invalid"}; không có dòng mới</t>
        </is>
      </c>
      <c r="G21" s="8" t="inlineStr">
        <is>
          <t>422 threshold_ref_invalid; 0 dòng</t>
        </is>
      </c>
      <c r="H21" s="7" t="inlineStr">
        <is>
          <t>Pass</t>
        </is>
      </c>
      <c r="I21" s="8" t="inlineStr">
        <is>
          <t>AC4 · EP (23) · test_threshold_for_external_b_rejected__AC4</t>
        </is>
      </c>
      <c r="Q21" s="10" t="inlineStr">
        <is>
          <t>Nội dung khác hiện hành?</t>
        </is>
      </c>
      <c r="R21" s="11" t="inlineStr">
        <is>
          <t>-</t>
        </is>
      </c>
      <c r="S21" s="11" t="inlineStr">
        <is>
          <t>-</t>
        </is>
      </c>
      <c r="T21" s="11" t="inlineStr">
        <is>
          <t>No</t>
        </is>
      </c>
      <c r="U21" s="11" t="inlineStr">
        <is>
          <t>Yes</t>
        </is>
      </c>
    </row>
    <row r="22" ht="74" customHeight="1">
      <c r="A22" s="7" t="inlineStr">
        <is>
          <t>TC-DDIRULE-14</t>
        </is>
      </c>
      <c r="B22" s="7" t="inlineStr">
        <is>
          <t>Từ chối gửi verification_status khi tạo và khi sửa</t>
        </is>
      </c>
      <c r="C22" s="8" t="inlineStr">
        <is>
          <t>Admin; X, Y</t>
        </is>
      </c>
      <c r="D22" s="8" t="inlineStr">
        <is>
          <t>1. POST có verification_status = cho_duyet
2. Tạo quy tắc hợp lệ rồi PATCH có verification_status
3. Đọc verification_status trong DB</t>
        </is>
      </c>
      <c r="E22" s="8" t="inlineStr">
        <is>
          <t>verification_status: cho_duyet / x</t>
        </is>
      </c>
      <c r="F22" s="8" t="inlineStr">
        <is>
          <t>Cả hai 422 ValidationError; DB chỉ có da_xac_minh</t>
        </is>
      </c>
      <c r="G22" s="8" t="inlineStr">
        <is>
          <t>422 cả hai; DB = [da_xac_minh]</t>
        </is>
      </c>
      <c r="H22" s="7" t="inlineStr">
        <is>
          <t>Pass</t>
        </is>
      </c>
      <c r="I22" s="8" t="inlineStr">
        <is>
          <t>AC15, AC16 · EP (25) · test_verification_status_not_writable__AC15_AC16</t>
        </is>
      </c>
      <c r="Q22" s="6" t="inlineStr">
        <is>
          <t>Action</t>
        </is>
      </c>
      <c r="R22" s="5" t="inlineStr">
        <is>
          <t>R1</t>
        </is>
      </c>
      <c r="S22" s="5" t="inlineStr">
        <is>
          <t>R2</t>
        </is>
      </c>
      <c r="T22" s="5" t="inlineStr">
        <is>
          <t>R3</t>
        </is>
      </c>
      <c r="U22" s="5" t="inlineStr">
        <is>
          <t>R4</t>
        </is>
      </c>
    </row>
    <row r="23" ht="41" customHeight="1">
      <c r="A23" s="7" t="inlineStr">
        <is>
          <t>TC-DDIRULE-15</t>
        </is>
      </c>
      <c r="B23" s="7" t="inlineStr">
        <is>
          <t>Báo trùng khi tạo cặp hoạt chất đảo thứ tự hoặc tên ngoài khác hoa thường</t>
        </is>
      </c>
      <c r="C23" s="8" t="inlineStr">
        <is>
          <t>Admin; đã có quy tắc (X, Y) và (X, "Rượu")</t>
        </is>
      </c>
      <c r="D23" s="8" t="inlineStr">
        <is>
          <t>1. POST (Y, X)
2. POST (X, "rượu")</t>
        </is>
      </c>
      <c r="E23" s="8" t="inlineStr">
        <is>
          <t>cặp đảo chiều; tên ngoài viết thường</t>
        </is>
      </c>
      <c r="F23" s="8" t="inlineStr">
        <is>
          <t>409 {"detail": "interaction_rule_exists"} cho cả hai; không có dòng mới</t>
        </is>
      </c>
      <c r="G23" s="8" t="inlineStr">
        <is>
          <t>409 interaction_rule_exists; vẫn 2 quy tắc</t>
        </is>
      </c>
      <c r="H23" s="7" t="inlineStr">
        <is>
          <t>Pass</t>
        </is>
      </c>
      <c r="I23" s="8" t="inlineStr">
        <is>
          <t>AC5 · Đoán lỗi · test_duplicate_pair_conflict__AC5</t>
        </is>
      </c>
      <c r="Q23" s="10" t="inlineStr">
        <is>
          <t>404 interaction_rule_not_found</t>
        </is>
      </c>
      <c r="R23" s="11" t="inlineStr">
        <is>
          <t>X</t>
        </is>
      </c>
      <c r="S23" s="11" t="inlineStr"/>
      <c r="T23" s="11" t="inlineStr"/>
      <c r="U23" s="11" t="inlineStr"/>
    </row>
    <row r="24" ht="74" customHeight="1">
      <c r="A24" s="7" t="inlineStr">
        <is>
          <t>TC-DDIRULE-16</t>
        </is>
      </c>
      <c r="B24" s="7" t="inlineStr">
        <is>
          <t>Hai request tạo cùng cặp chạy đồng thời chỉ một thành công</t>
        </is>
      </c>
      <c r="C24" s="8" t="inlineStr">
        <is>
          <t>Admin; X, Y chưa có quy tắc; một giao dịch khác đang giữ cặp (X, Y) chưa commit</t>
        </is>
      </c>
      <c r="D24" s="8" t="inlineStr">
        <is>
          <t>1. Gửi đồng thời POST (X, Y) và POST (Y, X)
2. Chờ tới khi cả hai đang chờ khóa DB
3. Rollback giao dịch đang giữ
4. Đếm quy tắc mở của cặp</t>
        </is>
      </c>
      <c r="E24" s="8" t="inlineStr">
        <is>
          <t>2 request song song</t>
        </is>
      </c>
      <c r="F24" s="8" t="inlineStr">
        <is>
          <t>Một 201, một 409; đúng 1 quy tắc mở cho cặp</t>
        </is>
      </c>
      <c r="G24" s="8" t="inlineStr">
        <is>
          <t>[201, 409]; 1 quy tắc</t>
        </is>
      </c>
      <c r="H24" s="7" t="inlineStr">
        <is>
          <t>Pass</t>
        </is>
      </c>
      <c r="I24" s="8" t="inlineStr">
        <is>
          <t>AC6 · Chạy đua · test_concurrent_create_one_wins__AC6</t>
        </is>
      </c>
      <c r="Q24" s="10" t="inlineStr">
        <is>
          <t>409 version_conflict</t>
        </is>
      </c>
      <c r="R24" s="11" t="inlineStr"/>
      <c r="S24" s="11" t="inlineStr">
        <is>
          <t>X</t>
        </is>
      </c>
      <c r="T24" s="11" t="inlineStr"/>
      <c r="U24" s="11" t="inlineStr"/>
    </row>
    <row r="25" ht="107" customHeight="1">
      <c r="A25" s="7" t="inlineStr">
        <is>
          <t>TC-DDIRULE-17</t>
        </is>
      </c>
      <c r="B25" s="7" t="inlineStr">
        <is>
          <t>Xóa mềm quy tắc: ẩn khỏi danh sách, giữ dòng và ngưỡng, tạo lại được</t>
        </is>
      </c>
      <c r="C25" s="8" t="inlineStr">
        <is>
          <t>Admin; quy tắc Q (phiên bản 1, 1 ngưỡng)</t>
        </is>
      </c>
      <c r="D25" s="8" t="inlineStr">
        <is>
          <t>1. DELETE /admin/drug-interactions/{id}?expected_version=1
2. Kiểm DB
3. GET, PATCH, DELETE lại Q
4. GET danh sách lọc theo X
5. POST lại cùng cặp</t>
        </is>
      </c>
      <c r="E25" s="8" t="inlineStr">
        <is>
          <t>expected_version: 1</t>
        </is>
      </c>
      <c r="F25" s="8" t="inlineStr">
        <is>
          <t>204 rỗng; DB còn dòng, deleted_at và deleted_by = admin, ngưỡng còn; GET/PATCH/DELETE 404 interaction_rule_not_found; danh sách rỗng; tạo lại 201 với mã mới</t>
        </is>
      </c>
      <c r="G25" s="8" t="inlineStr">
        <is>
          <t>Đúng như mong đợi</t>
        </is>
      </c>
      <c r="H25" s="7" t="inlineStr">
        <is>
          <t>Pass</t>
        </is>
      </c>
      <c r="I25" s="8" t="inlineStr">
        <is>
          <t>AC7, AC24 · Chuyển trạng thái (current → deleted) · test_soft_delete_hides_keeps_rows_and_allows_recreate__AC7</t>
        </is>
      </c>
      <c r="Q25" s="10" t="inlineStr">
        <is>
          <t>200, giữ phiên bản</t>
        </is>
      </c>
      <c r="R25" s="11" t="inlineStr"/>
      <c r="S25" s="11" t="inlineStr"/>
      <c r="T25" s="11" t="inlineStr">
        <is>
          <t>X</t>
        </is>
      </c>
      <c r="U25" s="11" t="inlineStr"/>
    </row>
    <row r="26" ht="123.5" customHeight="1">
      <c r="A26" s="7" t="inlineStr">
        <is>
          <t>TC-DDIRULE-18</t>
        </is>
      </c>
      <c r="B26" s="7" t="inlineStr">
        <is>
          <t>Lọc, phân trang và sắp xếp danh sách quy tắc</t>
        </is>
      </c>
      <c r="C26" s="8" t="inlineStr">
        <is>
          <t>Admin; 3 quy tắc chạm hoạt chất Alpha (một ở vị trí B), 1 quy tắc tên ngoài; thuốc phối hợp chứa hai hoạt chất</t>
        </is>
      </c>
      <c r="D26" s="8" t="inlineStr">
        <is>
          <t>1. GET ?ingredient_id=Alpha
2. Thêm severity_level, interaction_type
3. limit=2, skip=2
4. q viết hoa khác tên
5. q theo tên ngoài
6. medication_id của thuốc phối hợp và của thuốc chưa có hoạt chất</t>
        </is>
      </c>
      <c r="E26" s="8" t="inlineStr">
        <is>
          <t>các bộ lọc như bước</t>
        </is>
      </c>
      <c r="F26" s="8" t="inlineStr">
        <is>
          <t>Chỉ các quy tắc mở khớp lọc; mới sửa trước; total không tính phân trang; q không phân biệt hoa thường; medication_id khớp bất kỳ hoạt chất của thuốc; thuốc chưa có hoạt chất → rỗng</t>
        </is>
      </c>
      <c r="G26" s="8" t="inlineStr">
        <is>
          <t>Đúng như mong đợi</t>
        </is>
      </c>
      <c r="H26" s="7" t="inlineStr">
        <is>
          <t>Pass</t>
        </is>
      </c>
      <c r="I26" s="8" t="inlineStr">
        <is>
          <t>AC8, AC26 · test_list_filters_paging_total_order__AC8_AC26</t>
        </is>
      </c>
      <c r="Q26" s="10" t="inlineStr">
        <is>
          <t>200, phiên bản mới, bản cũ superseded</t>
        </is>
      </c>
      <c r="R26" s="11" t="inlineStr"/>
      <c r="S26" s="11" t="inlineStr"/>
      <c r="T26" s="11" t="inlineStr"/>
      <c r="U26" s="11" t="inlineStr">
        <is>
          <t>X</t>
        </is>
      </c>
    </row>
    <row r="27" ht="123.5" customHeight="1">
      <c r="A27" s="7" t="inlineStr">
        <is>
          <t>TC-DDIRULE-19</t>
        </is>
      </c>
      <c r="B27" s="7" t="inlineStr">
        <is>
          <t>Sửa nội dung giữ field khác; không đổi được cặp hoạt chất</t>
        </is>
      </c>
      <c r="C27" s="8" t="inlineStr">
        <is>
          <t>Admin; quy tắc phụ thuộc liều có 1 ngưỡng</t>
        </is>
      </c>
      <c r="D27" s="8" t="inlineStr">
        <is>
          <t>1. PATCH expected_version=1, severity_level=3, description
2. PATCH gửi ingredient_a_id / ingredient_b_id / ingredient_b_external_name
3. PATCH đổi sang chong_chi_dinh mức 4 khi còn ngưỡng
4. PATCH như trên kèm dose_thresholds: []</t>
        </is>
      </c>
      <c r="E27" s="8" t="inlineStr">
        <is>
          <t>như bước</t>
        </is>
      </c>
      <c r="F27" s="8" t="inlineStr">
        <is>
          <t>200 với 2 field đổi, field khác giữ; đổi cặp 422 ValidationError; còn ngưỡng 422 threshold_not_allowed; kèm [] thì 200 và không còn ngưỡng</t>
        </is>
      </c>
      <c r="G27" s="8" t="inlineStr">
        <is>
          <t>Đúng như mong đợi</t>
        </is>
      </c>
      <c r="H27" s="7" t="inlineStr">
        <is>
          <t>Pass</t>
        </is>
      </c>
      <c r="I27" s="8" t="inlineStr">
        <is>
          <t>AC9 · test_patch_content_and_reject_pair_change__AC9</t>
        </is>
      </c>
    </row>
    <row r="28" ht="90.5" customHeight="1">
      <c r="A28" s="7" t="inlineStr">
        <is>
          <t>TC-DDIRULE-20</t>
        </is>
      </c>
      <c r="B28" s="7" t="inlineStr">
        <is>
          <t>Chặn người chưa đăng nhập và tài khoản không phải admin</t>
        </is>
      </c>
      <c r="C28" s="8" t="inlineStr">
        <is>
          <t>User thường; không token</t>
        </is>
      </c>
      <c r="D28" s="8" t="inlineStr">
        <is>
          <t>1. Gọi lần lượt mọi endpoint /admin/drug-interactions..., /admin/drug-food-interactions, /admin/active-ingredients không token
2. Gọi lại bằng phiên của user thường
3. Đếm access_logs trước/sau</t>
        </is>
      </c>
      <c r="E28" s="8" t="inlineStr">
        <is>
          <t>9 route</t>
        </is>
      </c>
      <c r="F28" s="8" t="inlineStr">
        <is>
          <t>401 khi không token; 403 {"detail": "admin_only"} với user thường; access_logs không đổi; POST của user thường không ghi dòng nào</t>
        </is>
      </c>
      <c r="G28" s="8" t="inlineStr">
        <is>
          <t>Đúng như mong đợi</t>
        </is>
      </c>
      <c r="H28" s="7" t="inlineStr">
        <is>
          <t>Pass</t>
        </is>
      </c>
      <c r="I28" s="8" t="inlineStr">
        <is>
          <t>AC11 · Decision Table (R1, R2) · test_auth_401_and_non_admin_403__AC11, test_non_admin_write_changes_nothing__AC11</t>
        </is>
      </c>
    </row>
    <row r="29" ht="123.5" customHeight="1">
      <c r="A29" s="7" t="inlineStr">
        <is>
          <t>TC-DDIRULE-21</t>
        </is>
      </c>
      <c r="B29" s="7" t="inlineStr">
        <is>
          <t>Uống cách giờ: số giờ không bắt buộc, chỉ đi với cach_gio</t>
        </is>
      </c>
      <c r="C29" s="8" t="inlineStr">
        <is>
          <t>Admin; các hoạt chất mới</t>
        </is>
      </c>
      <c r="D29" s="8" t="inlineStr">
        <is>
          <t>1. POST cach_gio + 2 giờ
2. POST cach_gio không số giờ
3. POST tranh_phoi_hop / can_theo_doi / giam_lieu kèm 2 giờ
4. PATCH đổi cach_gio → can_theo_doi khi còn số giờ
5. PATCH như trên kèm min_interval_hours: null</t>
        </is>
      </c>
      <c r="E29" s="8" t="inlineStr">
        <is>
          <t>như bước</t>
        </is>
      </c>
      <c r="F29" s="8" t="inlineStr">
        <is>
          <t>201 với 2; 201 với null; 422 min_interval_not_allowed và không ghi; PATCH 422 min_interval_not_allowed; kèm null thì 200</t>
        </is>
      </c>
      <c r="G29" s="8" t="inlineStr">
        <is>
          <t>Đúng như mong đợi</t>
        </is>
      </c>
      <c r="H29" s="7" t="inlineStr">
        <is>
          <t>Pass</t>
        </is>
      </c>
      <c r="I29" s="8" t="inlineStr">
        <is>
          <t>AC27 · EP (4, 5, 18) · test_min_interval_rules__AC27</t>
        </is>
      </c>
    </row>
    <row r="30" ht="41" customHeight="1">
      <c r="A30" s="7" t="inlineStr">
        <is>
          <t>TC-DDIRULE-BVA-01</t>
        </is>
      </c>
      <c r="B30" s="7" t="inlineStr">
        <is>
          <t>Biên severity_level</t>
        </is>
      </c>
      <c r="C30" s="8" t="inlineStr">
        <is>
          <t>Admin</t>
        </is>
      </c>
      <c r="D30" s="8" t="inlineStr">
        <is>
          <t>1. POST với severity_level = 0, 1, 4 (chong_chi_dinh), 5</t>
        </is>
      </c>
      <c r="E30" s="8" t="inlineStr">
        <is>
          <t>0 / 1 / 4 / 5</t>
        </is>
      </c>
      <c r="F30" s="8" t="inlineStr">
        <is>
          <t>0 → 422; 1 → 201; 4 → 201; 5 → 422</t>
        </is>
      </c>
      <c r="G30" s="8" t="inlineStr">
        <is>
          <t>Đúng như mong đợi</t>
        </is>
      </c>
      <c r="H30" s="7" t="inlineStr">
        <is>
          <t>Pass</t>
        </is>
      </c>
      <c r="I30" s="8" t="inlineStr">
        <is>
          <t>AC4 · BVA (min-1, min, max, max+1) · test_create_boundaries</t>
        </is>
      </c>
    </row>
    <row r="31" ht="41" customHeight="1">
      <c r="A31" s="7" t="inlineStr">
        <is>
          <t>TC-DDIRULE-BVA-02</t>
        </is>
      </c>
      <c r="B31" s="7" t="inlineStr">
        <is>
          <t>Biên min_interval_hours</t>
        </is>
      </c>
      <c r="C31" s="8" t="inlineStr">
        <is>
          <t>Admin; handling_type = cach_gio</t>
        </is>
      </c>
      <c r="D31" s="8" t="inlineStr">
        <is>
          <t>1. POST với min_interval_hours = 0, 0.5, 168, 169</t>
        </is>
      </c>
      <c r="E31" s="8" t="inlineStr">
        <is>
          <t>0 / 0.5 / 168 / 169</t>
        </is>
      </c>
      <c r="F31" s="8" t="inlineStr">
        <is>
          <t>0 → 422; 0.5 → 201; 168 → 201; 169 → 422</t>
        </is>
      </c>
      <c r="G31" s="8" t="inlineStr">
        <is>
          <t>Đúng như mong đợi</t>
        </is>
      </c>
      <c r="H31" s="7" t="inlineStr">
        <is>
          <t>Pass</t>
        </is>
      </c>
      <c r="I31" s="8" t="inlineStr">
        <is>
          <t>AC27 · BVA (min-1, min, max, max+1) · test_create_boundaries</t>
        </is>
      </c>
    </row>
    <row r="32" ht="41" customHeight="1">
      <c r="A32" s="7" t="inlineStr">
        <is>
          <t>TC-DDIRULE-BVA-03</t>
        </is>
      </c>
      <c r="B32" s="7" t="inlineStr">
        <is>
          <t>Biên độ dài description và source</t>
        </is>
      </c>
      <c r="C32" s="8" t="inlineStr">
        <is>
          <t>Admin</t>
        </is>
      </c>
      <c r="D32" s="8" t="inlineStr">
        <is>
          <t>1. POST description dài 4000 và 4001
2. POST source dài 500 và 501</t>
        </is>
      </c>
      <c r="E32" s="8" t="inlineStr">
        <is>
          <t>a*4000 / a*4001 / s*500 / s*501</t>
        </is>
      </c>
      <c r="F32" s="8" t="inlineStr">
        <is>
          <t>4000 → 201, 4001 → 422; 500 → 201, 501 → 422</t>
        </is>
      </c>
      <c r="G32" s="8" t="inlineStr">
        <is>
          <t>Đúng như mong đợi</t>
        </is>
      </c>
      <c r="H32" s="7" t="inlineStr">
        <is>
          <t>Pass</t>
        </is>
      </c>
      <c r="I32" s="8" t="inlineStr">
        <is>
          <t>BVA (max, max+1) · test_create_boundaries</t>
        </is>
      </c>
    </row>
    <row r="33" ht="41" customHeight="1">
      <c r="A33" s="7" t="inlineStr">
        <is>
          <t>TC-DDIRULE-BVA-04</t>
        </is>
      </c>
      <c r="B33" s="7" t="inlineStr">
        <is>
          <t>Biên số ngưỡng liều</t>
        </is>
      </c>
      <c r="C33" s="8" t="inlineStr">
        <is>
          <t>Admin</t>
        </is>
      </c>
      <c r="D33" s="8" t="inlineStr">
        <is>
          <t>1. POST với 20 ngưỡng
2. POST với 21 ngưỡng</t>
        </is>
      </c>
      <c r="E33" s="8" t="inlineStr">
        <is>
          <t>20 / 21 ngưỡng</t>
        </is>
      </c>
      <c r="F33" s="8" t="inlineStr">
        <is>
          <t>20 → 201 và trả đủ 20; 21 → 422</t>
        </is>
      </c>
      <c r="G33" s="8" t="inlineStr">
        <is>
          <t>Đúng như mong đợi</t>
        </is>
      </c>
      <c r="H33" s="7" t="inlineStr">
        <is>
          <t>Pass</t>
        </is>
      </c>
      <c r="I33" s="8" t="inlineStr">
        <is>
          <t>BVA (max, max+1) · test_create_boundaries</t>
        </is>
      </c>
    </row>
    <row r="34" ht="57.5" customHeight="1">
      <c r="A34" s="7" t="inlineStr">
        <is>
          <t>TC-DDIRULE-BVA-05</t>
        </is>
      </c>
      <c r="B34" s="7" t="inlineStr">
        <is>
          <t>Biên limit của danh sách</t>
        </is>
      </c>
      <c r="C34" s="8" t="inlineStr">
        <is>
          <t>Admin</t>
        </is>
      </c>
      <c r="D34" s="8" t="inlineStr">
        <is>
          <t>1. GET /admin/drug-interactions?limit=0, 1, 100, 101</t>
        </is>
      </c>
      <c r="E34" s="8" t="inlineStr">
        <is>
          <t>0 / 1 / 100 / 101</t>
        </is>
      </c>
      <c r="F34" s="8" t="inlineStr">
        <is>
          <t>0 → 422; 1 → 200; 100 → 200; 101 → 422</t>
        </is>
      </c>
      <c r="G34" s="8" t="inlineStr">
        <is>
          <t>Đúng như mong đợi</t>
        </is>
      </c>
      <c r="H34" s="7" t="inlineStr">
        <is>
          <t>Pass</t>
        </is>
      </c>
      <c r="I34" s="8" t="inlineStr">
        <is>
          <t>AC8 · BVA (min-1, min, max, max+1) · test_list_limit_boundaries</t>
        </is>
      </c>
    </row>
    <row r="35" ht="90.5" customHeight="1">
      <c r="A35" s="7" t="inlineStr">
        <is>
          <t>TC-DDIRULE-22</t>
        </is>
      </c>
      <c r="B35" s="7" t="inlineStr">
        <is>
          <t>Sửa tạo phiên bản mới, phiên bản cũ giữ nguyên nội dung</t>
        </is>
      </c>
      <c r="C35" s="8" t="inlineStr">
        <is>
          <t>Admin; quy tắc R phiên bản 1</t>
        </is>
      </c>
      <c r="D35" s="8" t="inlineStr">
        <is>
          <t>1. PATCH expected_version=1, severity_level=3
2. So dòng DB phiên bản 1 trước và sau</t>
        </is>
      </c>
      <c r="E35" s="8" t="inlineStr">
        <is>
          <t>severity_level: 3</t>
        </is>
      </c>
      <c r="F35" s="8" t="inlineStr">
        <is>
          <t>200: cùng id, version = 2, version_id mới, updated_by = admin; DB có 2 dòng, phiên bản 1 nội dung không đổi và superseded_at có giá trị</t>
        </is>
      </c>
      <c r="G35" s="8" t="inlineStr">
        <is>
          <t>Đúng như mong đợi</t>
        </is>
      </c>
      <c r="H35" s="7" t="inlineStr">
        <is>
          <t>Pass</t>
        </is>
      </c>
      <c r="I35" s="8" t="inlineStr">
        <is>
          <t>AC18 · Decision Table bảng 2 (R4) · Chuyển trạng thái (current → superseded) · test_patch_creates_new_version_old_unchanged__AC18</t>
        </is>
      </c>
    </row>
    <row r="36" ht="57.5" customHeight="1">
      <c r="A36" s="7" t="inlineStr">
        <is>
          <t>TC-DDIRULE-23</t>
        </is>
      </c>
      <c r="B36" s="7" t="inlineStr">
        <is>
          <t>Ngưỡng liều thuộc từng phiên bản</t>
        </is>
      </c>
      <c r="C36" s="8" t="inlineStr">
        <is>
          <t>Admin; quy tắc có 2 ngưỡng</t>
        </is>
      </c>
      <c r="D36" s="8" t="inlineStr">
        <is>
          <t>1. PATCH chỉ đổi description
2. PATCH gửi 1 ngưỡng mới
3. Đọc ngưỡng của từng phiên bản trong DB</t>
        </is>
      </c>
      <c r="E36" s="8" t="inlineStr">
        <is>
          <t>như bước</t>
        </is>
      </c>
      <c r="F36" s="8" t="inlineStr">
        <is>
          <t>Phiên bản 2 có 2 ngưỡng id mới; phiên bản 3 có 1 ngưỡng; ngưỡng của phiên bản 1 không đổi</t>
        </is>
      </c>
      <c r="G36" s="8" t="inlineStr">
        <is>
          <t>Đúng như mong đợi</t>
        </is>
      </c>
      <c r="H36" s="7" t="inlineStr">
        <is>
          <t>Pass</t>
        </is>
      </c>
      <c r="I36" s="8" t="inlineStr">
        <is>
          <t>AC19 · test_thresholds_belong_to_each_version__AC19</t>
        </is>
      </c>
    </row>
    <row r="37" ht="57.5" customHeight="1">
      <c r="A37" s="7" t="inlineStr">
        <is>
          <t>TC-DDIRULE-24</t>
        </is>
      </c>
      <c r="B37" s="7" t="inlineStr">
        <is>
          <t>Từ chối sửa/xóa với expected_version cũ</t>
        </is>
      </c>
      <c r="C37" s="8" t="inlineStr">
        <is>
          <t>Admin; quy tắc đã lên phiên bản 2</t>
        </is>
      </c>
      <c r="D37" s="8" t="inlineStr">
        <is>
          <t>1. PATCH expected_version=1
2. DELETE ?expected_version=1</t>
        </is>
      </c>
      <c r="E37" s="8" t="inlineStr">
        <is>
          <t>expected_version: 1</t>
        </is>
      </c>
      <c r="F37" s="8" t="inlineStr">
        <is>
          <t>409 {"detail": "version_conflict"} cho cả hai; DB không đổi</t>
        </is>
      </c>
      <c r="G37" s="8" t="inlineStr">
        <is>
          <t>409 version_conflict; vẫn 2 phiên bản, chưa xóa</t>
        </is>
      </c>
      <c r="H37" s="7" t="inlineStr">
        <is>
          <t>Pass</t>
        </is>
      </c>
      <c r="I37" s="8" t="inlineStr">
        <is>
          <t>AC20 · EP (26) · Decision Table bảng 2 (R2) · test_stale_expected_version_conflict__AC20</t>
        </is>
      </c>
    </row>
    <row r="38" ht="90.5" customHeight="1">
      <c r="A38" s="7" t="inlineStr">
        <is>
          <t>TC-DDIRULE-25</t>
        </is>
      </c>
      <c r="B38" s="7" t="inlineStr">
        <is>
          <t>Hai admin sửa cùng phiên bản đồng thời chỉ một thành công</t>
        </is>
      </c>
      <c r="C38" s="8" t="inlineStr">
        <is>
          <t>Admin; quy tắc phiên bản 1; một giao dịch khác giữ khóa quy tắc</t>
        </is>
      </c>
      <c r="D38" s="8" t="inlineStr">
        <is>
          <t>1. Gửi đồng thời hai PATCH expected_version=1 với mô tả khác nhau
2. Chờ tới khi cả hai đang chờ khóa DB
3. Thả khóa
4. Đếm phiên bản</t>
        </is>
      </c>
      <c r="E38" s="8" t="inlineStr">
        <is>
          <t>2 request song song</t>
        </is>
      </c>
      <c r="F38" s="8" t="inlineStr">
        <is>
          <t>Một 200, một 409; đúng 2 phiên bản, 1 phiên bản mở</t>
        </is>
      </c>
      <c r="G38" s="8" t="inlineStr">
        <is>
          <t>[200, 409]; phiên bản [1, 2]</t>
        </is>
      </c>
      <c r="H38" s="7" t="inlineStr">
        <is>
          <t>Pass</t>
        </is>
      </c>
      <c r="I38" s="8" t="inlineStr">
        <is>
          <t>AC20 · Chạy đua · test_concurrent_patch_same_version_one_wins__AC20</t>
        </is>
      </c>
    </row>
    <row r="39" ht="57.5" customHeight="1">
      <c r="A39" s="7" t="inlineStr">
        <is>
          <t>TC-DDIRULE-26</t>
        </is>
      </c>
      <c r="B39" s="7" t="inlineStr">
        <is>
          <t>Sửa với giá trị giống hệt không tạo phiên bản</t>
        </is>
      </c>
      <c r="C39" s="8" t="inlineStr">
        <is>
          <t>Admin; quy tắc phiên bản 1 có 2 ngưỡng</t>
        </is>
      </c>
      <c r="D39" s="8" t="inlineStr">
        <is>
          <t>1. PATCH expected_version=1 với severity_level, description và dose_thresholds giống hệt (đảo thứ tự ngưỡng)</t>
        </is>
      </c>
      <c r="E39" s="8" t="inlineStr">
        <is>
          <t>giá trị hiện tại</t>
        </is>
      </c>
      <c r="F39" s="8" t="inlineStr">
        <is>
          <t>200; version = 1, version_id không đổi; DB vẫn 1 dòng</t>
        </is>
      </c>
      <c r="G39" s="8" t="inlineStr">
        <is>
          <t>Đúng như mong đợi</t>
        </is>
      </c>
      <c r="H39" s="7" t="inlineStr">
        <is>
          <t>Pass</t>
        </is>
      </c>
      <c r="I39" s="8" t="inlineStr">
        <is>
          <t>AC21 · Decision Table bảng 2 (R3) · test_noop_patch_keeps_version__AC21</t>
        </is>
      </c>
    </row>
    <row r="40" ht="107" customHeight="1">
      <c r="A40" s="7" t="inlineStr">
        <is>
          <t>TC-DDIRULE-27</t>
        </is>
      </c>
      <c r="B40" s="7" t="inlineStr">
        <is>
          <t>Xem lịch sử và một phiên bản sau khi quy tắc bị xóa</t>
        </is>
      </c>
      <c r="C40" s="8" t="inlineStr">
        <is>
          <t>Admin; quy tắc qua 3 phiên bản rồi bị xóa mềm</t>
        </is>
      </c>
      <c r="D40" s="8" t="inlineStr">
        <is>
          <t>1. GET /admin/drug-interactions/{id}/versions
2. GET /admin/drug-interaction-versions/{version_id của phiên bản 1}
3. GET với mã/id không tồn tại</t>
        </is>
      </c>
      <c r="E40" s="8" t="inlineStr">
        <is>
          <t>như bước</t>
        </is>
      </c>
      <c r="F40" s="8" t="inlineStr">
        <is>
          <t>3 phiên bản mới nhất trước: deleted/superseded/superseded, mỗi phiên bản đủ ngưỡng, phiên bản cuối có deleted_by; phiên bản 1 đúng nội dung cũ; 404 interaction_version_not_found / interaction_rule_not_found</t>
        </is>
      </c>
      <c r="G40" s="8" t="inlineStr">
        <is>
          <t>Đúng như mong đợi</t>
        </is>
      </c>
      <c r="H40" s="7" t="inlineStr">
        <is>
          <t>Pass</t>
        </is>
      </c>
      <c r="I40" s="8" t="inlineStr">
        <is>
          <t>AC23 · test_history_and_version_lookup_after_delete__AC23</t>
        </is>
      </c>
    </row>
    <row r="41" ht="57.5" customHeight="1">
      <c r="A41" s="7" t="inlineStr">
        <is>
          <t>TC-DDIRULE-28</t>
        </is>
      </c>
      <c r="B41" s="7" t="inlineStr">
        <is>
          <t>created_at giữ thời điểm tạo phiên bản 1; updated_at theo phiên bản hiện hành</t>
        </is>
      </c>
      <c r="C41" s="8" t="inlineStr">
        <is>
          <t>Admin; quy tắc phiên bản 1</t>
        </is>
      </c>
      <c r="D41" s="8" t="inlineStr">
        <is>
          <t>1. PATCH đổi source
2. GET chi tiết</t>
        </is>
      </c>
      <c r="E41" s="8" t="inlineStr">
        <is>
          <t>source: Dược thư</t>
        </is>
      </c>
      <c r="F41" s="8" t="inlineStr">
        <is>
          <t>created_at không đổi; updated_at ≥ trước; chi tiết trả version 2 với source mới</t>
        </is>
      </c>
      <c r="G41" s="8" t="inlineStr">
        <is>
          <t>Đúng như mong đợi</t>
        </is>
      </c>
      <c r="H41" s="7" t="inlineStr">
        <is>
          <t>Pass</t>
        </is>
      </c>
      <c r="I41" s="8" t="inlineStr">
        <is>
          <t>AC26 · test_created_at_and_updated_at__AC26</t>
        </is>
      </c>
    </row>
    <row r="42" ht="74" customHeight="1">
      <c r="A42" s="7" t="inlineStr">
        <is>
          <t>TC-DDIRULE-29</t>
        </is>
      </c>
      <c r="B42" s="7" t="inlineStr">
        <is>
          <t>DB chặn sửa nội dung phiên bản với mọi role</t>
        </is>
      </c>
      <c r="C42" s="8" t="inlineStr">
        <is>
          <t>Quy tắc phiên bản 1 có 1 ngưỡng (chèn trực tiếp DB)</t>
        </is>
      </c>
      <c r="D42" s="8" t="inlineStr">
        <is>
          <t>1. UPDATE severity_level bằng api_role
2. Bằng worker_role
3. Bằng postgres
4. Đọc lại severity_level</t>
        </is>
      </c>
      <c r="E42" s="8" t="inlineStr">
        <is>
          <t>SET severity_level = 4</t>
        </is>
      </c>
      <c r="F42" s="8" t="inlineStr">
        <is>
          <t>api_role, worker_role: permission denied; postgres: "version content is immutable"; giá trị không đổi</t>
        </is>
      </c>
      <c r="G42" s="8" t="inlineStr">
        <is>
          <t>Đúng như mong đợi</t>
        </is>
      </c>
      <c r="H42" s="7" t="inlineStr">
        <is>
          <t>Pass</t>
        </is>
      </c>
      <c r="I42" s="8" t="inlineStr">
        <is>
          <t>AC22 · test_content_update_rejected_for_every_role__AC22</t>
        </is>
      </c>
    </row>
    <row r="43" ht="90.5" customHeight="1">
      <c r="A43" s="7" t="inlineStr">
        <is>
          <t>TC-DDIRULE-30</t>
        </is>
      </c>
      <c r="B43" s="7" t="inlineStr">
        <is>
          <t>DB chỉ cho đóng phiên bản một lần, không cho vừa thay vừa xóa</t>
        </is>
      </c>
      <c r="C43" s="8" t="inlineStr">
        <is>
          <t>Quy tắc phiên bản 1</t>
        </is>
      </c>
      <c r="D43" s="8" t="inlineStr">
        <is>
          <t>1. api_role: SET superseded_at
2. postgres: SET deleted_at, rồi SET superseded_at lần nữa
3. postgres: SET superseded_at và deleted_at cùng lúc trên quy tắc khác</t>
        </is>
      </c>
      <c r="E43" s="8" t="inlineStr">
        <is>
          <t>như bước</t>
        </is>
      </c>
      <c r="F43" s="8" t="inlineStr">
        <is>
          <t>Lần đầu thành công; sau đó "closed and immutable"; cùng lúc: vi phạm CHECK state_chk</t>
        </is>
      </c>
      <c r="G43" s="8" t="inlineStr">
        <is>
          <t>Đúng như mong đợi</t>
        </is>
      </c>
      <c r="H43" s="7" t="inlineStr">
        <is>
          <t>Pass</t>
        </is>
      </c>
      <c r="I43" s="8" t="inlineStr">
        <is>
          <t>AC22 · Chuyển trạng thái (superseded → * bị cấm) · test_close_once_then_immutable__AC22, test_superseded_and_deleted_together_rejected</t>
        </is>
      </c>
    </row>
    <row r="44" ht="74" customHeight="1">
      <c r="A44" s="7" t="inlineStr">
        <is>
          <t>TC-DDIRULE-31</t>
        </is>
      </c>
      <c r="B44" s="7" t="inlineStr">
        <is>
          <t>DB chặn DELETE và TRUNCATE quy tắc và ngưỡng</t>
        </is>
      </c>
      <c r="C44" s="8" t="inlineStr">
        <is>
          <t>Quy tắc có ngưỡng</t>
        </is>
      </c>
      <c r="D44" s="8" t="inlineStr">
        <is>
          <t>1. postgres: DELETE quy tắc / ngưỡng
2. api_role: DELETE
3. postgres: TRUNCATE (trong giao dịch, rollback)</t>
        </is>
      </c>
      <c r="E44" s="8" t="inlineStr">
        <is>
          <t>như bước</t>
        </is>
      </c>
      <c r="F44" s="8" t="inlineStr">
        <is>
          <t>postgres: "... is not allowed on the versioned interaction catalog"; api_role: permission denied</t>
        </is>
      </c>
      <c r="G44" s="8" t="inlineStr">
        <is>
          <t>Đúng như mong đợi</t>
        </is>
      </c>
      <c r="H44" s="7" t="inlineStr">
        <is>
          <t>Pass</t>
        </is>
      </c>
      <c r="I44" s="8" t="inlineStr">
        <is>
          <t>AC22 · test_delete_and_truncate_rejected__AC22</t>
        </is>
      </c>
    </row>
    <row r="45" ht="74" customHeight="1">
      <c r="A45" s="7" t="inlineStr">
        <is>
          <t>TC-DDIRULE-32</t>
        </is>
      </c>
      <c r="B45" s="7" t="inlineStr">
        <is>
          <t>DB chặn sửa ngưỡng và thêm ngưỡng vào phiên bản đã có</t>
        </is>
      </c>
      <c r="C45" s="8" t="inlineStr">
        <is>
          <t>Quy tắc có 1 ngưỡng</t>
        </is>
      </c>
      <c r="D45" s="8" t="inlineStr">
        <is>
          <t>1. postgres: UPDATE ngưỡng
2. api_role: INSERT ngưỡng cho phiên bản đã có (giao dịch khác)
3. Đếm ngưỡng</t>
        </is>
      </c>
      <c r="E45" s="8" t="inlineStr">
        <is>
          <t>như bước</t>
        </is>
      </c>
      <c r="F45" s="8" t="inlineStr">
        <is>
          <t>UPDATE: not allowed; INSERT: "... created in the same transaction"; vẫn 1 ngưỡng</t>
        </is>
      </c>
      <c r="G45" s="8" t="inlineStr">
        <is>
          <t>Đúng như mong đợi</t>
        </is>
      </c>
      <c r="H45" s="7" t="inlineStr">
        <is>
          <t>Pass</t>
        </is>
      </c>
      <c r="I45" s="8" t="inlineStr">
        <is>
          <t>AC22, AC19 · test_thresholds_immutable_and_only_added_with_new_version__AC22_AC19</t>
        </is>
      </c>
    </row>
    <row r="46" ht="57.5" customHeight="1">
      <c r="A46" s="7" t="inlineStr">
        <is>
          <t>TC-DDIRULE-33</t>
        </is>
      </c>
      <c r="B46" s="7" t="inlineStr">
        <is>
          <t>Quyền tối thiểu: worker_role chỉ đọc; anon/authenticated không đọc được</t>
        </is>
      </c>
      <c r="C46" s="8" t="inlineStr">
        <is>
          <t>Quy tắc có sẵn</t>
        </is>
      </c>
      <c r="D46" s="8" t="inlineStr">
        <is>
          <t>1. worker_role: SELECT, INSERT, UPDATE superseded_at
2. SET ROLE anon / authenticated rồi SELECT</t>
        </is>
      </c>
      <c r="E46" s="8" t="inlineStr">
        <is>
          <t>như bước</t>
        </is>
      </c>
      <c r="F46" s="8" t="inlineStr">
        <is>
          <t>worker_role đọc được, ghi bị permission denied; anon/authenticated permission denied</t>
        </is>
      </c>
      <c r="G46" s="8" t="inlineStr">
        <is>
          <t>Đúng như mong đợi</t>
        </is>
      </c>
      <c r="H46" s="7" t="inlineStr">
        <is>
          <t>Pass</t>
        </is>
      </c>
      <c r="I46" s="8" t="inlineStr">
        <is>
          <t>AC22 · test_worker_role_read_only, test_client_roles_cannot_read</t>
        </is>
      </c>
    </row>
    <row r="47" ht="90.5" customHeight="1">
      <c r="A47" s="7" t="inlineStr">
        <is>
          <t>TC-DDIRULE-34</t>
        </is>
      </c>
      <c r="B47" s="7" t="inlineStr">
        <is>
          <t>Dòng chèn kiểu cũ thành phiên bản 1 hợp lệ; chặn chèn phiên bản đóng hoặc thiếu rule_id</t>
        </is>
      </c>
      <c r="C47" s="8" t="inlineStr">
        <is>
          <t>DB sau migration</t>
        </is>
      </c>
      <c r="D47" s="8" t="inlineStr">
        <is>
          <t>1. INSERT kiểu cũ (không cột mới)
2. INSERT có deleted_at
3. INSERT version = 2 không rule_id</t>
        </is>
      </c>
      <c r="E47" s="8" t="inlineStr">
        <is>
          <t>như bước</t>
        </is>
      </c>
      <c r="F47" s="8" t="inlineStr">
        <is>
          <t>rule_id = id, version 1, mở; "must be inserted open"; "needs an existing rule_id"</t>
        </is>
      </c>
      <c r="G47" s="8" t="inlineStr">
        <is>
          <t>Đúng như mong đợi. Backfill dữ liệu có trước migration kiểm ở implement (33/33)</t>
        </is>
      </c>
      <c r="H47" s="7" t="inlineStr">
        <is>
          <t>Pass</t>
        </is>
      </c>
      <c r="I47" s="8" t="inlineStr">
        <is>
          <t>AC25 · test_old_style_insert_becomes_open_version_1__AC25, test_insert_closed_or_versionless_rejected; evidence/impl-check-migration.log</t>
        </is>
      </c>
    </row>
    <row r="48" ht="57.5" customHeight="1">
      <c r="A48" s="7" t="inlineStr">
        <is>
          <t>TC-DDIRULE-35</t>
        </is>
      </c>
      <c r="B48" s="7" t="inlineStr">
        <is>
          <t>Unique cặp chỉ tính phiên bản mở</t>
        </is>
      </c>
      <c r="C48" s="8" t="inlineStr">
        <is>
          <t>Quy tắc (A, B) mở</t>
        </is>
      </c>
      <c r="D48" s="8" t="inlineStr">
        <is>
          <t>1. INSERT (B, A)
2. Xóa mềm (A, B)
3. INSERT (B, A) lần nữa</t>
        </is>
      </c>
      <c r="E48" s="8" t="inlineStr">
        <is>
          <t>như bước</t>
        </is>
      </c>
      <c r="F48" s="8" t="inlineStr">
        <is>
          <t>Lần đầu vi phạm active_ingredient_interactions_pair_uq; sau xóa mềm chèn được</t>
        </is>
      </c>
      <c r="G48" s="8" t="inlineStr">
        <is>
          <t>Đúng như mong đợi</t>
        </is>
      </c>
      <c r="H48" s="7" t="inlineStr">
        <is>
          <t>Pass</t>
        </is>
      </c>
      <c r="I48" s="8" t="inlineStr">
        <is>
          <t>AC24 · test_pair_unique_only_among_open_versions__AC24</t>
        </is>
      </c>
    </row>
    <row r="49" ht="57.5" customHeight="1">
      <c r="A49" s="7" t="inlineStr">
        <is>
          <t>TC-DDIRULE-36</t>
        </is>
      </c>
      <c r="B49" s="7" t="inlineStr">
        <is>
          <t>Response khớp contract (operationId, mã trạng thái, field)</t>
        </is>
      </c>
      <c r="C49" s="8" t="inlineStr">
        <is>
          <t>api_contract/openapi.json (đã duyệt)</t>
        </is>
      </c>
      <c r="D49" s="8" t="inlineStr">
        <is>
          <t>1. So OpenAPI sinh từ app với contract cho 15 operation</t>
        </is>
      </c>
      <c r="E49" s="8" t="inlineStr">
        <is>
          <t>15 operation</t>
        </is>
      </c>
      <c r="F49" s="8" t="inlineStr">
        <is>
          <t>operationId, mã trạng thái, shape request/response, tham số query khớp; bảng mức độ 1–4 có trong contract</t>
        </is>
      </c>
      <c r="G49" s="8" t="inlineStr">
        <is>
          <t>28 test pass</t>
        </is>
      </c>
      <c r="H49" s="7" t="inlineStr">
        <is>
          <t>Pass</t>
        </is>
      </c>
      <c r="I49" s="8" t="inlineStr">
        <is>
          <t>AC14, AC17 · test_contract_interaction.py (unit)</t>
        </is>
      </c>
    </row>
    <row r="50"/>
    <row r="51"/>
    <row r="52">
      <c r="G52" s="12" t="inlineStr">
        <is>
          <t>Pass</t>
        </is>
      </c>
      <c r="H52" s="13">
        <f>COUNTIF(H9:H49,"Pass")</f>
        <v/>
      </c>
    </row>
    <row r="53">
      <c r="G53" s="12" t="inlineStr">
        <is>
          <t>Fail</t>
        </is>
      </c>
      <c r="H53" s="13">
        <f>COUNTIF(H9:H49,"Fail")</f>
        <v/>
      </c>
    </row>
    <row r="54">
      <c r="G54" s="12" t="inlineStr">
        <is>
          <t>Pending</t>
        </is>
      </c>
      <c r="H54" s="13">
        <f>COUNTIF(H9:H49,"Pending")</f>
        <v/>
      </c>
    </row>
    <row r="55">
      <c r="G55" s="12" t="inlineStr">
        <is>
          <t>Total</t>
        </is>
      </c>
      <c r="H55" s="13">
        <f>SUM(H52:H54)</f>
        <v/>
      </c>
    </row>
  </sheetData>
  <autoFilter ref="A8:I49"/>
  <conditionalFormatting sqref="H9:H49">
    <cfRule type="cellIs" priority="1" operator="equal" dxfId="0">
      <formula>"Fail"</formula>
    </cfRule>
  </conditionalFormatting>
  <dataValidations count="1">
    <dataValidation sqref="H9:H49" showDropDown="0" showInputMessage="0" showErrorMessage="0" allowBlank="0" type="list">
      <formula1>"Pass,Fail,Pending"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s>
  <sheetData>
    <row r="1">
      <c r="A1" s="1" t="inlineStr">
        <is>
          <t>Project Name</t>
        </is>
      </c>
      <c r="B1" s="2" t="inlineStr">
        <is>
          <t>DrugTime</t>
        </is>
      </c>
    </row>
    <row r="2">
      <c r="A2" s="1" t="inlineStr">
        <is>
          <t>Module Name</t>
        </is>
      </c>
      <c r="B2" s="2" t="inlineStr">
        <is>
          <t>Danh mục tương tác thuốc-thực phẩm (admin) (DFIRULE)</t>
        </is>
      </c>
    </row>
    <row r="3">
      <c r="A3" s="1" t="inlineStr">
        <is>
          <t>Created By</t>
        </is>
      </c>
      <c r="B3" s="2" t="inlineStr">
        <is>
          <t>zannguyen</t>
        </is>
      </c>
    </row>
    <row r="4">
      <c r="A4" s="1" t="inlineStr">
        <is>
          <t>Creation Date</t>
        </is>
      </c>
      <c r="B4" s="21" t="n">
        <v>46307</v>
      </c>
    </row>
    <row r="5">
      <c r="A5" s="1" t="inlineStr">
        <is>
          <t>Reviewed By</t>
        </is>
      </c>
      <c r="B5" s="2" t="inlineStr"/>
    </row>
    <row r="6">
      <c r="A6" s="1" t="inlineStr">
        <is>
          <t>Reviewed Date</t>
        </is>
      </c>
      <c r="B6" s="2" t="n"/>
    </row>
    <row r="7">
      <c r="K7" s="4" t="inlineStr">
        <is>
          <t>Equivalence Partitioning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row>
    <row r="9" ht="123.5" customHeight="1">
      <c r="A9" s="7" t="inlineStr">
        <is>
          <t>TC-DFIRULE-01</t>
        </is>
      </c>
      <c r="B9" s="7" t="inlineStr">
        <is>
          <t>Tạo, xem, sửa, xóa mềm, xem lịch sử, tạo lại quy tắc thực phẩm</t>
        </is>
      </c>
      <c r="C9" s="8" t="inlineStr">
        <is>
          <t>Admin; hoạt chất có trong danh mục</t>
        </is>
      </c>
      <c r="D9" s="8" t="inlineStr">
        <is>
          <t>1. POST /admin/drug-food-interactions
2. GET chi tiết
3. PATCH expected_version=1 đổi food_to_avoid, reason, severity_level
4. DELETE ?expected_version=2
5. GET chi tiết, GET lịch sử, GET phiên bản 1
6. POST lại cùng thực phẩm</t>
        </is>
      </c>
      <c r="E9" s="8" t="inlineStr">
        <is>
          <t>food_to_avoid: Nước bưởi chùm → Rượu</t>
        </is>
      </c>
      <c r="F9" s="8" t="inlineStr">
        <is>
          <t>201 version 1; GET bằng response tạo; 200 version 2; DB có 2 phiên bản, bản 1 superseded; 204; 404; lịch sử deleted/superseded; phiên bản 1 giữ Nước bưởi chùm; tạo lại 201</t>
        </is>
      </c>
      <c r="G9" s="8" t="inlineStr">
        <is>
          <t>Đúng như mong đợi</t>
        </is>
      </c>
      <c r="H9" s="7" t="inlineStr">
        <is>
          <t>Pass</t>
        </is>
      </c>
      <c r="I9" s="8" t="inlineStr">
        <is>
          <t>AC10, AC7, AC18 · Chuyển trạng thái · test_crud_flow__AC10</t>
        </is>
      </c>
      <c r="K9" s="9" t="inlineStr">
        <is>
          <t>ingredient_id</t>
        </is>
      </c>
      <c r="L9" s="10" t="inlineStr">
        <is>
          <t>có trong danh mục</t>
        </is>
      </c>
      <c r="M9" s="10" t="inlineStr">
        <is>
          <t>1</t>
        </is>
      </c>
      <c r="N9" s="10" t="inlineStr">
        <is>
          <t>không tồn tại
gửi khi sửa</t>
        </is>
      </c>
      <c r="O9" s="10" t="inlineStr">
        <is>
          <t>3
4</t>
        </is>
      </c>
    </row>
    <row r="10" ht="90.5" customHeight="1">
      <c r="A10" s="7" t="inlineStr">
        <is>
          <t>TC-DFIRULE-02</t>
        </is>
      </c>
      <c r="B10" s="7" t="inlineStr">
        <is>
          <t>Từ chối dữ liệu sai và không ghi gì</t>
        </is>
      </c>
      <c r="C10" s="8" t="inlineStr">
        <is>
          <t>Admin</t>
        </is>
      </c>
      <c r="D10" s="8" t="inlineStr">
        <is>
          <t>1. POST với hoạt chất không tồn tại
2. food_to_avoid chỉ khoảng trắng
3. severity_level = 5
4. có verification_status
5. thiếu source</t>
        </is>
      </c>
      <c r="E10" s="8" t="inlineStr">
        <is>
          <t>như bước</t>
        </is>
      </c>
      <c r="F10" s="8" t="inlineStr">
        <is>
          <t>422 (hoạt chất không tồn tại: {"detail": "active_ingredient_not_found"}); không có dòng mới</t>
        </is>
      </c>
      <c r="G10" s="8" t="inlineStr">
        <is>
          <t>Đúng như mong đợi</t>
        </is>
      </c>
      <c r="H10" s="7" t="inlineStr">
        <is>
          <t>Pass</t>
        </is>
      </c>
      <c r="I10" s="8" t="inlineStr">
        <is>
          <t>AC10, AC4, AC15 · EP (3, 5) · test_validation_errors_write_nothing__AC10_AC4</t>
        </is>
      </c>
      <c r="K10" s="9" t="inlineStr">
        <is>
          <t>food_to_avoid</t>
        </is>
      </c>
      <c r="L10" s="10" t="inlineStr">
        <is>
          <t>1–200 ký tự, có ký tự không phải khoảng trắng</t>
        </is>
      </c>
      <c r="M10" s="10" t="inlineStr">
        <is>
          <t>2</t>
        </is>
      </c>
      <c r="N10" s="10" t="inlineStr">
        <is>
          <t>chỉ khoảng trắng
trùng (không phân biệt hoa thường) với quy tắc mở của cùng hoạt chất</t>
        </is>
      </c>
      <c r="O10" s="10" t="inlineStr">
        <is>
          <t>5
6</t>
        </is>
      </c>
    </row>
    <row r="11" ht="57.5" customHeight="1">
      <c r="A11" s="7" t="inlineStr">
        <is>
          <t>TC-DFIRULE-03</t>
        </is>
      </c>
      <c r="B11" s="7" t="inlineStr">
        <is>
          <t>Báo trùng thực phẩm không phân biệt hoa thường</t>
        </is>
      </c>
      <c r="C11" s="8" t="inlineStr">
        <is>
          <t>Admin; đã có (hoạt chất H, "Bưởi")</t>
        </is>
      </c>
      <c r="D11" s="8" t="inlineStr">
        <is>
          <t>1. POST (H, "BƯỞI")
2. POST (hoạt chất khác, "Bưởi")</t>
        </is>
      </c>
      <c r="E11" s="8" t="inlineStr">
        <is>
          <t>BƯỞI</t>
        </is>
      </c>
      <c r="F11" s="8" t="inlineStr">
        <is>
          <t>409 interaction_rule_exists; hoạt chất khác thì 201</t>
        </is>
      </c>
      <c r="G11" s="8" t="inlineStr">
        <is>
          <t>Đúng như mong đợi</t>
        </is>
      </c>
      <c r="H11" s="7" t="inlineStr">
        <is>
          <t>Pass</t>
        </is>
      </c>
      <c r="I11" s="8" t="inlineStr">
        <is>
          <t>AC10, AC5 · EP (6) · test_duplicate_food_case_insensitive__AC10_AC5</t>
        </is>
      </c>
    </row>
    <row r="12" ht="57.5" customHeight="1">
      <c r="A12" s="7" t="inlineStr">
        <is>
          <t>TC-DFIRULE-04</t>
        </is>
      </c>
      <c r="B12" s="7" t="inlineStr">
        <is>
          <t>Sửa thực phẩm thành trùng với quy tắc khác bị từ chối và không ghi gì</t>
        </is>
      </c>
      <c r="C12" s="8" t="inlineStr">
        <is>
          <t>Admin; hoạt chất H có "Sữa" và "Rượu"</t>
        </is>
      </c>
      <c r="D12" s="8" t="inlineStr">
        <is>
          <t>1. PATCH quy tắc "Rượu" đổi food_to_avoid = "sữa"
2. Đọc phiên bản trong DB</t>
        </is>
      </c>
      <c r="E12" s="8" t="inlineStr">
        <is>
          <t>food_to_avoid: sữa</t>
        </is>
      </c>
      <c r="F12" s="8" t="inlineStr">
        <is>
          <t>409 interaction_rule_exists; vẫn 1 phiên bản, phiên bản 1 vẫn mở (giao dịch rollback)</t>
        </is>
      </c>
      <c r="G12" s="8" t="inlineStr">
        <is>
          <t>Đúng như mong đợi</t>
        </is>
      </c>
      <c r="H12" s="7" t="inlineStr">
        <is>
          <t>Pass</t>
        </is>
      </c>
      <c r="I12" s="8" t="inlineStr">
        <is>
          <t>AC10, AC5 · EP (6) · Đoán lỗi · test_patch_food_to_duplicate_conflict_writes_nothing</t>
        </is>
      </c>
    </row>
    <row r="13" ht="57.5" customHeight="1">
      <c r="A13" s="7" t="inlineStr">
        <is>
          <t>TC-DFIRULE-05</t>
        </is>
      </c>
      <c r="B13" s="7" t="inlineStr">
        <is>
          <t>Không đổi được hoạt chất; phiên bản cũ bị từ chối</t>
        </is>
      </c>
      <c r="C13" s="8" t="inlineStr">
        <is>
          <t>Admin; quy tắc phiên bản 1</t>
        </is>
      </c>
      <c r="D13" s="8" t="inlineStr">
        <is>
          <t>1. PATCH gửi ingredient_id
2. PATCH hợp lệ lên phiên bản 2
3. PATCH expected_version=1</t>
        </is>
      </c>
      <c r="E13" s="8" t="inlineStr">
        <is>
          <t>như bước</t>
        </is>
      </c>
      <c r="F13" s="8" t="inlineStr">
        <is>
          <t>422 ValidationError; 200; 409 version_conflict</t>
        </is>
      </c>
      <c r="G13" s="8" t="inlineStr">
        <is>
          <t>Đúng như mong đợi</t>
        </is>
      </c>
      <c r="H13" s="7" t="inlineStr">
        <is>
          <t>Pass</t>
        </is>
      </c>
      <c r="I13" s="8" t="inlineStr">
        <is>
          <t>AC10, AC9, AC20 · EP (4) · test_patch_rejects_ingredient_change_and_stale_version</t>
        </is>
      </c>
    </row>
    <row r="14" ht="107" customHeight="1">
      <c r="A14" s="7" t="inlineStr">
        <is>
          <t>TC-DFIRULE-06</t>
        </is>
      </c>
      <c r="B14" s="7" t="inlineStr">
        <is>
          <t>Lọc và phân trang quy tắc thực phẩm</t>
        </is>
      </c>
      <c r="C14" s="8" t="inlineStr">
        <is>
          <t>Admin; 2 quy tắc của hoạt chất Simva, 1 của hoạt chất khác</t>
        </is>
      </c>
      <c r="D14" s="8" t="inlineStr">
        <is>
          <t>1. GET ?ingredient_id
2. thêm severity_level
3. q viết hoa theo tên hoạt chất
4. q theo food_to_avoid
5. medication_id
6. limit=1&amp;skip=1</t>
        </is>
      </c>
      <c r="E14" s="8" t="inlineStr">
        <is>
          <t>như bước</t>
        </is>
      </c>
      <c r="F14" s="8" t="inlineStr">
        <is>
          <t>Đúng tập kết quả, mới sửa trước, total đúng</t>
        </is>
      </c>
      <c r="G14" s="8" t="inlineStr">
        <is>
          <t>Đúng như mong đợi</t>
        </is>
      </c>
      <c r="H14" s="7" t="inlineStr">
        <is>
          <t>Pass</t>
        </is>
      </c>
      <c r="I14" s="8" t="inlineStr">
        <is>
          <t>AC10, AC8 · test_filters__AC10_AC8</t>
        </is>
      </c>
    </row>
    <row r="15"/>
    <row r="16"/>
    <row r="17">
      <c r="G17" s="12" t="inlineStr">
        <is>
          <t>Pass</t>
        </is>
      </c>
      <c r="H17" s="13">
        <f>COUNTIF(H9:H14,"Pass")</f>
        <v/>
      </c>
    </row>
    <row r="18">
      <c r="G18" s="12" t="inlineStr">
        <is>
          <t>Fail</t>
        </is>
      </c>
      <c r="H18" s="13">
        <f>COUNTIF(H9:H14,"Fail")</f>
        <v/>
      </c>
    </row>
    <row r="19">
      <c r="G19" s="12" t="inlineStr">
        <is>
          <t>Pending</t>
        </is>
      </c>
      <c r="H19" s="13">
        <f>COUNTIF(H9:H14,"Pending")</f>
        <v/>
      </c>
    </row>
    <row r="20">
      <c r="G20" s="12" t="inlineStr">
        <is>
          <t>Total</t>
        </is>
      </c>
      <c r="H20" s="13">
        <f>SUM(H17:H19)</f>
        <v/>
      </c>
    </row>
  </sheetData>
  <autoFilter ref="A8:I14"/>
  <conditionalFormatting sqref="H9:H14">
    <cfRule type="cellIs" priority="1" operator="equal" dxfId="0">
      <formula>"Fail"</formula>
    </cfRule>
  </conditionalFormatting>
  <dataValidations count="1">
    <dataValidation sqref="H9:H14" showDropDown="0" showInputMessage="0" showErrorMessage="0" allowBlank="0" type="list">
      <formula1>"Pass,Fail,Pending"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0"/>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s>
  <sheetData>
    <row r="1">
      <c r="A1" s="1" t="inlineStr">
        <is>
          <t>Project Name</t>
        </is>
      </c>
      <c r="B1" s="2" t="inlineStr">
        <is>
          <t>DrugTime</t>
        </is>
      </c>
    </row>
    <row r="2">
      <c r="A2" s="1" t="inlineStr">
        <is>
          <t>Module Name</t>
        </is>
      </c>
      <c r="B2" s="2" t="inlineStr">
        <is>
          <t>Tra cứu hoạt chất (admin) (INGRED)</t>
        </is>
      </c>
    </row>
    <row r="3">
      <c r="A3" s="1" t="inlineStr">
        <is>
          <t>Created By</t>
        </is>
      </c>
      <c r="B3" s="2" t="inlineStr">
        <is>
          <t>zannguyen</t>
        </is>
      </c>
    </row>
    <row r="4">
      <c r="A4" s="1" t="inlineStr">
        <is>
          <t>Creation Date</t>
        </is>
      </c>
      <c r="B4" s="21" t="n">
        <v>46307</v>
      </c>
    </row>
    <row r="5">
      <c r="A5" s="1" t="inlineStr">
        <is>
          <t>Reviewed By</t>
        </is>
      </c>
      <c r="B5" s="2" t="inlineStr"/>
    </row>
    <row r="6">
      <c r="A6" s="1" t="inlineStr">
        <is>
          <t>Reviewed Date</t>
        </is>
      </c>
      <c r="B6" s="2" t="n"/>
    </row>
    <row r="7">
      <c r="K7" s="4" t="inlineStr">
        <is>
          <t>Equivalence Partitioning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row>
    <row r="9" ht="74" customHeight="1">
      <c r="A9" s="7" t="inlineStr">
        <is>
          <t>TC-INGRED-01</t>
        </is>
      </c>
      <c r="B9" s="7" t="inlineStr">
        <is>
          <t>Tìm hoạt chất theo tên chuẩn và theo tên gọi khác</t>
        </is>
      </c>
      <c r="C9" s="8" t="inlineStr">
        <is>
          <t>Admin; hoạt chất Warfarin-&lt;tag&gt; có alias Coumadin-&lt;tag&gt;; Other-&lt;tag&gt;</t>
        </is>
      </c>
      <c r="D9" s="8" t="inlineStr">
        <is>
          <t>1. GET /admin/active-ingredients?q=WARFARIN-&lt;tag&gt; (viết hoa)
2. q=coumadin-&lt;tag&gt;
3. q=&lt;tag&gt;</t>
        </is>
      </c>
      <c r="E9" s="8" t="inlineStr">
        <is>
          <t>như bước</t>
        </is>
      </c>
      <c r="F9" s="8" t="inlineStr">
        <is>
          <t>Trả đúng Warfarin kèm aliases; theo alias trả Warfarin; theo tag trả cả hai, sắp theo tên</t>
        </is>
      </c>
      <c r="G9" s="8" t="inlineStr">
        <is>
          <t>Đúng như mong đợi</t>
        </is>
      </c>
      <c r="H9" s="7" t="inlineStr">
        <is>
          <t>Pass</t>
        </is>
      </c>
      <c r="I9" s="8" t="inlineStr">
        <is>
          <t>AC12 · EP (1, 2) · test_search_by_name_and_alias__AC12</t>
        </is>
      </c>
      <c r="K9" s="9" t="inlineStr">
        <is>
          <t>q</t>
        </is>
      </c>
      <c r="L9" s="10" t="inlineStr">
        <is>
          <t>khớp một phần tên chuẩn
khớp một phần alias</t>
        </is>
      </c>
      <c r="M9" s="10" t="inlineStr">
        <is>
          <t>1
2</t>
        </is>
      </c>
      <c r="N9" s="10" t="inlineStr">
        <is>
          <t>chuỗi rỗng
ký tự wildcard % _ (phải khớp nguyên văn)</t>
        </is>
      </c>
      <c r="O9" s="10" t="inlineStr">
        <is>
          <t>4
5</t>
        </is>
      </c>
    </row>
    <row r="10" ht="41" customHeight="1">
      <c r="A10" s="7" t="inlineStr">
        <is>
          <t>TC-INGRED-02</t>
        </is>
      </c>
      <c r="B10" s="7" t="inlineStr">
        <is>
          <t>Ký tự wildcard trong từ khóa được khớp nguyên văn</t>
        </is>
      </c>
      <c r="C10" s="8" t="inlineStr">
        <is>
          <t>Admin; hoạt chất plain-&lt;tag&gt;</t>
        </is>
      </c>
      <c r="D10" s="8" t="inlineStr">
        <is>
          <t>1. GET q=%&lt;tag&gt;
2. GET q=_lain-&lt;tag&gt;</t>
        </is>
      </c>
      <c r="E10" s="8" t="inlineStr">
        <is>
          <t>% và _</t>
        </is>
      </c>
      <c r="F10" s="8" t="inlineStr">
        <is>
          <t>total = 0 cho cả hai</t>
        </is>
      </c>
      <c r="G10" s="8" t="inlineStr">
        <is>
          <t>Đúng như mong đợi</t>
        </is>
      </c>
      <c r="H10" s="7" t="inlineStr">
        <is>
          <t>Pass</t>
        </is>
      </c>
      <c r="I10" s="8" t="inlineStr">
        <is>
          <t>AC12 · EP (5) · Đoán lỗi · test_wildcards_are_literal</t>
        </is>
      </c>
      <c r="K10" s="9" t="inlineStr">
        <is>
          <t>medication_id</t>
        </is>
      </c>
      <c r="L10" s="10" t="inlineStr">
        <is>
          <t>thuốc có hoạt chất</t>
        </is>
      </c>
      <c r="M10" s="10" t="inlineStr">
        <is>
          <t>3</t>
        </is>
      </c>
      <c r="N10" s="10" t="inlineStr">
        <is>
          <t>thuốc không tồn tại
thuốc chưa ánh xạ hoạt chất</t>
        </is>
      </c>
      <c r="O10" s="10" t="inlineStr">
        <is>
          <t>6
7</t>
        </is>
      </c>
    </row>
    <row r="11" ht="41" customHeight="1">
      <c r="A11" s="7" t="inlineStr">
        <is>
          <t>TC-INGRED-03</t>
        </is>
      </c>
      <c r="B11" s="7" t="inlineStr">
        <is>
          <t>Xem hoạt chất của một thuốc phối hợp</t>
        </is>
      </c>
      <c r="C11" s="8" t="inlineStr">
        <is>
          <t>Admin; thuốc chứa hai hoạt chất</t>
        </is>
      </c>
      <c r="D11" s="8" t="inlineStr">
        <is>
          <t>1. GET ?medication_id
2. GET ?medication_id&amp;limit=1</t>
        </is>
      </c>
      <c r="E11" s="8" t="inlineStr">
        <is>
          <t>thuốc 2 hoạt chất</t>
        </is>
      </c>
      <c r="F11" s="8" t="inlineStr">
        <is>
          <t>Trả đúng 2 hoạt chất, total 2; limit 1 trả 1 với total 2</t>
        </is>
      </c>
      <c r="G11" s="8" t="inlineStr">
        <is>
          <t>Đúng như mong đợi</t>
        </is>
      </c>
      <c r="H11" s="7" t="inlineStr">
        <is>
          <t>Pass</t>
        </is>
      </c>
      <c r="I11" s="8" t="inlineStr">
        <is>
          <t>AC12, Q7 · EP (3) · test_by_medication__AC12</t>
        </is>
      </c>
    </row>
    <row r="12" ht="57.5" customHeight="1">
      <c r="A12" s="7" t="inlineStr">
        <is>
          <t>TC-INGRED-04</t>
        </is>
      </c>
      <c r="B12" s="7" t="inlineStr">
        <is>
          <t>Thuốc không tồn tại hoặc chưa ánh xạ hoạt chất trả danh sách rỗng</t>
        </is>
      </c>
      <c r="C12" s="8" t="inlineStr">
        <is>
          <t>Admin</t>
        </is>
      </c>
      <c r="D12" s="8" t="inlineStr">
        <is>
          <t>1. GET ?medication_id=2000000000
2. GET ?medication_id=&lt;thuốc chưa có hoạt chất&gt;</t>
        </is>
      </c>
      <c r="E12" s="8" t="inlineStr">
        <is>
          <t>như bước</t>
        </is>
      </c>
      <c r="F12" s="8" t="inlineStr">
        <is>
          <t>200 {"items": [], "total": 0}</t>
        </is>
      </c>
      <c r="G12" s="8" t="inlineStr">
        <is>
          <t>Đúng như mong đợi</t>
        </is>
      </c>
      <c r="H12" s="7" t="inlineStr">
        <is>
          <t>Pass</t>
        </is>
      </c>
      <c r="I12" s="8" t="inlineStr">
        <is>
          <t>AC12 · EP (6, 7) · test_unknown_or_unmapped_medication_empty__AC12</t>
        </is>
      </c>
    </row>
    <row r="13" ht="41" customHeight="1">
      <c r="A13" s="7" t="inlineStr">
        <is>
          <t>TC-INGRED-05</t>
        </is>
      </c>
      <c r="B13" s="7" t="inlineStr">
        <is>
          <t>Từ chối tham số query sai</t>
        </is>
      </c>
      <c r="C13" s="8" t="inlineStr">
        <is>
          <t>Admin</t>
        </is>
      </c>
      <c r="D13" s="8" t="inlineStr">
        <is>
          <t>1. GET ?limit=0, ?limit=101, ?skip=-1, ?q=</t>
        </is>
      </c>
      <c r="E13" s="8" t="inlineStr">
        <is>
          <t>như bước</t>
        </is>
      </c>
      <c r="F13" s="8" t="inlineStr">
        <is>
          <t>422 cho từng trường hợp</t>
        </is>
      </c>
      <c r="G13" s="8" t="inlineStr">
        <is>
          <t>422</t>
        </is>
      </c>
      <c r="H13" s="7" t="inlineStr">
        <is>
          <t>Pass</t>
        </is>
      </c>
      <c r="I13" s="8" t="inlineStr">
        <is>
          <t>AC12 · EP (4) · BVA · test_bad_query_422 (unit)</t>
        </is>
      </c>
    </row>
    <row r="14" ht="41" customHeight="1">
      <c r="A14" s="7" t="inlineStr">
        <is>
          <t>TC-INGRED-06</t>
        </is>
      </c>
      <c r="B14" s="7" t="inlineStr">
        <is>
          <t>Chặn không token và tài khoản không phải admin</t>
        </is>
      </c>
      <c r="C14" s="8" t="inlineStr">
        <is>
          <t>Không token; user thường</t>
        </is>
      </c>
      <c r="D14" s="8" t="inlineStr">
        <is>
          <t>1. GET /admin/active-ingredients không token
2. GET bằng phiên user thường</t>
        </is>
      </c>
      <c r="E14" s="8" t="inlineStr">
        <is>
          <t>-</t>
        </is>
      </c>
      <c r="F14" s="8" t="inlineStr">
        <is>
          <t>401; 403 {"detail": "admin_only"}</t>
        </is>
      </c>
      <c r="G14" s="8" t="inlineStr">
        <is>
          <t>Đúng như mong đợi</t>
        </is>
      </c>
      <c r="H14" s="7" t="inlineStr">
        <is>
          <t>Pass</t>
        </is>
      </c>
      <c r="I14" s="8" t="inlineStr">
        <is>
          <t>AC11 · test_auth_401_and_non_admin_403__AC11</t>
        </is>
      </c>
    </row>
    <row r="15"/>
    <row r="16"/>
    <row r="17">
      <c r="G17" s="12" t="inlineStr">
        <is>
          <t>Pass</t>
        </is>
      </c>
      <c r="H17" s="13">
        <f>COUNTIF(H9:H14,"Pass")</f>
        <v/>
      </c>
    </row>
    <row r="18">
      <c r="G18" s="12" t="inlineStr">
        <is>
          <t>Fail</t>
        </is>
      </c>
      <c r="H18" s="13">
        <f>COUNTIF(H9:H14,"Fail")</f>
        <v/>
      </c>
    </row>
    <row r="19">
      <c r="G19" s="12" t="inlineStr">
        <is>
          <t>Pending</t>
        </is>
      </c>
      <c r="H19" s="13">
        <f>COUNTIF(H9:H14,"Pending")</f>
        <v/>
      </c>
    </row>
    <row r="20">
      <c r="G20" s="12" t="inlineStr">
        <is>
          <t>Total</t>
        </is>
      </c>
      <c r="H20" s="13">
        <f>SUM(H17:H19)</f>
        <v/>
      </c>
    </row>
  </sheetData>
  <autoFilter ref="A8:I14"/>
  <conditionalFormatting sqref="H9:H14">
    <cfRule type="cellIs" priority="1" operator="equal" dxfId="0">
      <formula>"Fail"</formula>
    </cfRule>
  </conditionalFormatting>
  <dataValidations count="1">
    <dataValidation sqref="H9:H14" showDropDown="0" showInputMessage="0" showErrorMessage="0" allowBlank="0" type="list">
      <formula1>"Pass,Fail,Pending"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0"/>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s>
  <sheetData>
    <row r="1">
      <c r="A1" s="1" t="inlineStr">
        <is>
          <t>Project Name</t>
        </is>
      </c>
      <c r="B1" s="2" t="inlineStr">
        <is>
          <t>DrugTime</t>
        </is>
      </c>
    </row>
    <row r="2">
      <c r="A2" s="1" t="inlineStr">
        <is>
          <t>Module Name</t>
        </is>
      </c>
      <c r="B2" s="2" t="inlineStr">
        <is>
          <t>Mã liên kết người thân (LINKCODE)</t>
        </is>
      </c>
    </row>
    <row r="3">
      <c r="A3" s="1" t="inlineStr">
        <is>
          <t>Created By</t>
        </is>
      </c>
      <c r="B3" s="2" t="inlineStr">
        <is>
          <t>zannguyen</t>
        </is>
      </c>
    </row>
    <row r="4">
      <c r="A4" s="1" t="inlineStr">
        <is>
          <t>Creation Date</t>
        </is>
      </c>
      <c r="B4" s="21" t="n">
        <v>46308</v>
      </c>
    </row>
    <row r="5">
      <c r="A5" s="1" t="inlineStr">
        <is>
          <t>Reviewed By</t>
        </is>
      </c>
      <c r="B5" s="2" t="inlineStr"/>
    </row>
    <row r="6">
      <c r="A6" s="1" t="inlineStr">
        <is>
          <t>Reviewed Date</t>
        </is>
      </c>
      <c r="B6" s="2" t="n"/>
    </row>
    <row r="7">
      <c r="K7" s="4" t="inlineStr">
        <is>
          <t>Equivalence Partitioning</t>
        </is>
      </c>
      <c r="Q7" s="4" t="inlineStr">
        <is>
          <t>Kết quả GET /family/link-code</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row>
    <row r="9" ht="107" customHeight="1">
      <c r="A9" s="7" t="inlineStr">
        <is>
          <t>TC-LINKCODE-01</t>
        </is>
      </c>
      <c r="B9" s="7" t="inlineStr">
        <is>
          <t>Lấy mã liên kết lần đầu khi user chưa có mã</t>
        </is>
      </c>
      <c r="C9" s="8" t="inlineStr">
        <is>
          <t>User thường đã đăng nhập (phiên mobile), chưa có dòng link_codes; đã đồng ý family_sharing (BS-05, từ 3.13)</t>
        </is>
      </c>
      <c r="D9" s="8" t="inlineStr">
        <is>
          <t>1. GET /family/link-code với header Authorization của user
2. Kiểm bảng link_codes theo patient_user_id</t>
        </is>
      </c>
      <c r="E9" s="8" t="inlineStr">
        <is>
          <t>Authorization: Bearer &lt;phiên mobile của U&gt;</t>
        </is>
      </c>
      <c r="F9" s="8" t="inlineStr">
        <is>
          <t>200; body chỉ có code (10 ký tự khớp ^[A-HJKMNP-Z2-9]{10}$) và qr_payload; DB có đúng 1 dòng link_codes của U với code trùng response</t>
        </is>
      </c>
      <c r="G9" s="8" t="inlineStr">
        <is>
          <t>200, body {code, qr_payload} đúng định dạng; đúng 1 dòng link_codes của U</t>
        </is>
      </c>
      <c r="H9" s="7" t="inlineStr">
        <is>
          <t>Pass</t>
        </is>
      </c>
      <c r="I9" s="8" t="inlineStr">
        <is>
          <t>AC1 · EP (1,2) · Decision Table (R5) · test_first_call_creates_one_row__AC1</t>
        </is>
      </c>
      <c r="K9" s="9" t="inlineStr">
        <is>
          <t>Phiên gọi (header Authorization)</t>
        </is>
      </c>
      <c r="L9" s="10" t="inlineStr">
        <is>
          <t>Phiên mobile hợp lệ của tài khoản cá nhân</t>
        </is>
      </c>
      <c r="M9" s="10" t="inlineStr">
        <is>
          <t>1</t>
        </is>
      </c>
      <c r="N9" s="10" t="inlineStr">
        <is>
          <t>Không có header
Token sai
Token của tài khoản đã xóa dữ liệu
Token của user không tồn tại
Phiên của tài khoản admin</t>
        </is>
      </c>
      <c r="O9" s="10" t="inlineStr">
        <is>
          <t>4
5
6
7
8</t>
        </is>
      </c>
      <c r="Q9" s="10" t="inlineStr">
        <is>
          <t>Phiên hợp lệ, tài khoản còn?</t>
        </is>
      </c>
      <c r="R9" s="11" t="inlineStr">
        <is>
          <t>No</t>
        </is>
      </c>
      <c r="S9" s="11" t="inlineStr">
        <is>
          <t>Yes</t>
        </is>
      </c>
      <c r="T9" s="11" t="inlineStr">
        <is>
          <t>Yes</t>
        </is>
      </c>
      <c r="U9" s="11" t="inlineStr">
        <is>
          <t>Yes</t>
        </is>
      </c>
      <c r="V9" s="11" t="inlineStr">
        <is>
          <t>Yes</t>
        </is>
      </c>
    </row>
    <row r="10" ht="57.5" customHeight="1">
      <c r="A10" s="7" t="inlineStr">
        <is>
          <t>TC-LINKCODE-02</t>
        </is>
      </c>
      <c r="B10" s="7" t="inlineStr">
        <is>
          <t>Gọi lại nhiều lần trả đúng mã cũ</t>
        </is>
      </c>
      <c r="C10" s="8" t="inlineStr">
        <is>
          <t>User U đã có mã C (đã gọi endpoint một lần); đã đồng ý family_sharing (BS-05, từ 3.13)</t>
        </is>
      </c>
      <c r="D10" s="8" t="inlineStr">
        <is>
          <t>1. GET /family/link-code 3 lần với phiên của U
2. Kiểm bảng link_codes của U</t>
        </is>
      </c>
      <c r="E10" s="8" t="inlineStr">
        <is>
          <t>3 lần gọi liên tiếp</t>
        </is>
      </c>
      <c r="F10" s="8" t="inlineStr">
        <is>
          <t>Cả 3 lần 200 với cùng body; vẫn 1 dòng, code và created_at không đổi</t>
        </is>
      </c>
      <c r="G10" s="8" t="inlineStr">
        <is>
          <t>3 lần 200, body giống hệt lần đầu; 1 dòng, created_at không đổi</t>
        </is>
      </c>
      <c r="H10" s="7" t="inlineStr">
        <is>
          <t>Pass</t>
        </is>
      </c>
      <c r="I10" s="8" t="inlineStr">
        <is>
          <t>AC2 · Decision Table (R4) · test_repeated_calls_return_same_code__AC2</t>
        </is>
      </c>
      <c r="K10" s="9" t="inlineStr">
        <is>
          <t>Consent family_sharing của người gọi</t>
        </is>
      </c>
      <c r="L10" s="10" t="inlineStr">
        <is>
          <t>Đang đồng ý</t>
        </is>
      </c>
      <c r="M10" s="10" t="inlineStr">
        <is>
          <t>2</t>
        </is>
      </c>
      <c r="N10" s="10" t="inlineStr">
        <is>
          <t>Chưa từng đồng ý
Đã rút</t>
        </is>
      </c>
      <c r="O10" s="10" t="inlineStr">
        <is>
          <t>9
10</t>
        </is>
      </c>
      <c r="Q10" s="10" t="inlineStr">
        <is>
          <t>Tài khoản admin?</t>
        </is>
      </c>
      <c r="R10" s="11" t="inlineStr">
        <is>
          <t>-</t>
        </is>
      </c>
      <c r="S10" s="11" t="inlineStr">
        <is>
          <t>Yes</t>
        </is>
      </c>
      <c r="T10" s="11" t="inlineStr">
        <is>
          <t>No</t>
        </is>
      </c>
      <c r="U10" s="11" t="inlineStr">
        <is>
          <t>No</t>
        </is>
      </c>
      <c r="V10" s="11" t="inlineStr">
        <is>
          <t>No</t>
        </is>
      </c>
    </row>
    <row r="11" ht="107" customHeight="1">
      <c r="A11" s="7" t="inlineStr">
        <is>
          <t>TC-LINKCODE-03</t>
        </is>
      </c>
      <c r="B11" s="7" t="inlineStr">
        <is>
          <t>Chờ request khác đang tạo mã cho cùng user rồi trả đúng mã đó</t>
        </is>
      </c>
      <c r="C11" s="8" t="inlineStr">
        <is>
          <t>User U chưa có mã; một kết nối khác đã INSERT mã M cho U trong transaction chưa commit; đã đồng ý family_sharing (BS-05, từ 3.13)</t>
        </is>
      </c>
      <c r="D11" s="8" t="inlineStr">
        <is>
          <t>1. Gửi GET /family/link-code của U trong thread riêng
2. Xác nhận request đang chờ khóa (pg_stat_activity)
3. Commit transaction của kết nối kia
4. Đợi request trả về</t>
        </is>
      </c>
      <c r="E11" s="8" t="inlineStr">
        <is>
          <t>M = mã ngẫu nhiên hợp lệ</t>
        </is>
      </c>
      <c r="F11" s="8" t="inlineStr">
        <is>
          <t>200 với code = M; DB chỉ có 1 dòng của U; không 5xx</t>
        </is>
      </c>
      <c r="G11" s="8" t="inlineStr">
        <is>
          <t>Request chờ khóa, sau commit trả 200 với code = M; 1 dòng. Chạy lặp 5 lần đều pass</t>
        </is>
      </c>
      <c r="H11" s="7" t="inlineStr">
        <is>
          <t>Pass</t>
        </is>
      </c>
      <c r="I11" s="8" t="inlineStr">
        <is>
          <t>AC3 · Đoán lỗi (chạy đua) · test_waits_for_concurrent_insert_and_returns_its_code__AC3</t>
        </is>
      </c>
      <c r="K11" s="9" t="inlineStr">
        <is>
          <t>Mã liên kết (code)</t>
        </is>
      </c>
      <c r="L11" s="10" t="inlineStr">
        <is>
          <t>10 ký tự thuộc A–Z, 2–9, bỏ 0 O 1 I L</t>
        </is>
      </c>
      <c r="M11" s="10" t="inlineStr">
        <is>
          <t>3</t>
        </is>
      </c>
      <c r="N11" s="10" t="inlineStr">
        <is>
          <t>Có ký tự dễ nhầm 0, O, 1, I, L
Chữ thường
Độ dài khác 10</t>
        </is>
      </c>
      <c r="O11" s="10" t="inlineStr">
        <is>
          <t>11
12
13</t>
        </is>
      </c>
      <c r="Q11" s="10" t="inlineStr">
        <is>
          <t>Đang đồng ý family_sharing?</t>
        </is>
      </c>
      <c r="R11" s="11" t="inlineStr">
        <is>
          <t>-</t>
        </is>
      </c>
      <c r="S11" s="11" t="inlineStr">
        <is>
          <t>-</t>
        </is>
      </c>
      <c r="T11" s="11" t="inlineStr">
        <is>
          <t>No</t>
        </is>
      </c>
      <c r="U11" s="11" t="inlineStr">
        <is>
          <t>Yes</t>
        </is>
      </c>
      <c r="V11" s="11" t="inlineStr">
        <is>
          <t>Yes</t>
        </is>
      </c>
    </row>
    <row r="12" ht="57.5" customHeight="1">
      <c r="A12" s="7" t="inlineStr">
        <is>
          <t>TC-LINKCODE-04</t>
        </is>
      </c>
      <c r="B12" s="7" t="inlineStr">
        <is>
          <t>Hai request đầu tiên gửi đồng thời nhận cùng một mã</t>
        </is>
      </c>
      <c r="C12" s="8" t="inlineStr">
        <is>
          <t>User U chưa có mã; đã đồng ý family_sharing (BS-05, từ 3.13)</t>
        </is>
      </c>
      <c r="D12" s="8" t="inlineStr">
        <is>
          <t>1. Gửi đồng thời 2 request GET /family/link-code của U (Barrier)
2. Kiểm bảng link_codes của U</t>
        </is>
      </c>
      <c r="E12" s="8" t="inlineStr">
        <is>
          <t>2 thread cùng phiên của U</t>
        </is>
      </c>
      <c r="F12" s="8" t="inlineStr">
        <is>
          <t>Cả hai 200, cùng body; đúng 1 dòng của U</t>
        </is>
      </c>
      <c r="G12" s="8" t="inlineStr">
        <is>
          <t>Cả hai 200, cùng code; 1 dòng. Chạy lặp 5 lần đều pass</t>
        </is>
      </c>
      <c r="H12" s="7" t="inlineStr">
        <is>
          <t>Pass</t>
        </is>
      </c>
      <c r="I12" s="8" t="inlineStr">
        <is>
          <t>AC3 · Đoán lỗi (gửi trùng) · test_parallel_first_calls_same_code__AC3</t>
        </is>
      </c>
      <c r="Q12" s="10" t="inlineStr">
        <is>
          <t>User đã có mã?</t>
        </is>
      </c>
      <c r="R12" s="11" t="inlineStr">
        <is>
          <t>-</t>
        </is>
      </c>
      <c r="S12" s="11" t="inlineStr">
        <is>
          <t>-</t>
        </is>
      </c>
      <c r="T12" s="11" t="inlineStr">
        <is>
          <t>-</t>
        </is>
      </c>
      <c r="U12" s="11" t="inlineStr">
        <is>
          <t>Yes</t>
        </is>
      </c>
      <c r="V12" s="11" t="inlineStr">
        <is>
          <t>No</t>
        </is>
      </c>
    </row>
    <row r="13" ht="41" customHeight="1">
      <c r="A13" s="7" t="inlineStr">
        <is>
          <t>TC-LINKCODE-05</t>
        </is>
      </c>
      <c r="B13" s="7" t="inlineStr">
        <is>
          <t>Sinh 10.000 mã đều đúng độ dài và bảng ký tự</t>
        </is>
      </c>
      <c r="C13" s="8" t="inlineStr">
        <is>
          <t>Không cần DB</t>
        </is>
      </c>
      <c r="D13" s="8" t="inlineStr">
        <is>
          <t>1. Gọi generate_code() 10.000 lần
2. Kiểm độ dài và ký tự của từng mã</t>
        </is>
      </c>
      <c r="E13" s="8" t="inlineStr">
        <is>
          <t>10.000 mã</t>
        </is>
      </c>
      <c r="F13" s="8" t="inlineStr">
        <is>
          <t>Mọi mã dài 10, chỉ gồm ký tự trong ALPHABET; không trùng nhau</t>
        </is>
      </c>
      <c r="G13" s="8" t="inlineStr">
        <is>
          <t>10.000 mã dài 10, đúng bảng ký tự, không trùng</t>
        </is>
      </c>
      <c r="H13" s="7" t="inlineStr">
        <is>
          <t>Pass</t>
        </is>
      </c>
      <c r="I13" s="8" t="inlineStr">
        <is>
          <t>AC4 · EP (3) · test_generate_code_length_and_alphabet__AC4</t>
        </is>
      </c>
      <c r="Q13" s="6" t="inlineStr">
        <is>
          <t>Action</t>
        </is>
      </c>
      <c r="R13" s="5" t="inlineStr">
        <is>
          <t>R1</t>
        </is>
      </c>
      <c r="S13" s="5" t="inlineStr">
        <is>
          <t>R2</t>
        </is>
      </c>
      <c r="T13" s="5" t="inlineStr">
        <is>
          <t>R3</t>
        </is>
      </c>
      <c r="U13" s="5" t="inlineStr">
        <is>
          <t>R4</t>
        </is>
      </c>
      <c r="V13" s="5" t="inlineStr">
        <is>
          <t>R5</t>
        </is>
      </c>
    </row>
    <row r="14" ht="57.5" customHeight="1">
      <c r="A14" s="7" t="inlineStr">
        <is>
          <t>TC-LINKCODE-06</t>
        </is>
      </c>
      <c r="B14" s="7" t="inlineStr">
        <is>
          <t>Bảng ký tự không chứa ký tự dễ nhầm</t>
        </is>
      </c>
      <c r="C14" s="8" t="inlineStr">
        <is>
          <t>Không cần DB</t>
        </is>
      </c>
      <c r="D14" s="8" t="inlineStr">
        <is>
          <t>1. Đọc ALPHABET
2. So với tập 0 O 1 I L</t>
        </is>
      </c>
      <c r="E14" s="8" t="inlineStr">
        <is>
          <t>ALPHABET = ABCDEFGHJKMNPQRSTUVWXYZ23456789</t>
        </is>
      </c>
      <c r="F14" s="8" t="inlineStr">
        <is>
          <t>31 ký tự phân biệt; không có 0, O, 1, I, L</t>
        </is>
      </c>
      <c r="G14" s="8" t="inlineStr">
        <is>
          <t>31 ký tự, không có ký tự dễ nhầm</t>
        </is>
      </c>
      <c r="H14" s="7" t="inlineStr">
        <is>
          <t>Pass</t>
        </is>
      </c>
      <c r="I14" s="8" t="inlineStr">
        <is>
          <t>AC4 · EP (11) · test_alphabet_excludes_confusable_characters__AC4</t>
        </is>
      </c>
      <c r="Q14" s="10" t="inlineStr">
        <is>
          <t>401, không ghi gì</t>
        </is>
      </c>
      <c r="R14" s="11" t="inlineStr">
        <is>
          <t>X</t>
        </is>
      </c>
      <c r="S14" s="11" t="inlineStr"/>
      <c r="T14" s="11" t="inlineStr"/>
      <c r="U14" s="11" t="inlineStr"/>
      <c r="V14" s="11" t="inlineStr"/>
    </row>
    <row r="15" ht="90.5" customHeight="1">
      <c r="A15" s="7" t="inlineStr">
        <is>
          <t>TC-LINKCODE-07</t>
        </is>
      </c>
      <c r="B15" s="7" t="inlineStr">
        <is>
          <t>Mã được sinh bằng nguồn ngẫu nhiên an toàn</t>
        </is>
      </c>
      <c r="C15" s="8" t="inlineStr">
        <is>
          <t>Không cần DB</t>
        </is>
      </c>
      <c r="D15" s="8" t="inlineStr">
        <is>
          <t>1. Kiểm giá trị mặc định của generate_code
2. Quét mã nguồn module family tìm import random</t>
        </is>
      </c>
      <c r="E15" s="8" t="inlineStr">
        <is>
          <t>src/drugtime/modules/family/**</t>
        </is>
      </c>
      <c r="F15" s="8" t="inlineStr">
        <is>
          <t>Mặc định dùng secrets.choice; không file nào import random</t>
        </is>
      </c>
      <c r="G15" s="8" t="inlineStr">
        <is>
          <t>Mặc định secrets.choice; không có import random</t>
        </is>
      </c>
      <c r="H15" s="7" t="inlineStr">
        <is>
          <t>Pass</t>
        </is>
      </c>
      <c r="I15" s="8" t="inlineStr">
        <is>
          <t>AC4 · Đoán lỗi (bảo mật) · test_generate_code_defaults_to_secrets_choice__AC4, test_family_module_does_not_import_random__AC4</t>
        </is>
      </c>
      <c r="Q15" s="10" t="inlineStr">
        <is>
          <t>403 khong_co_quyen, không ghi gì</t>
        </is>
      </c>
      <c r="R15" s="11" t="inlineStr"/>
      <c r="S15" s="11" t="inlineStr">
        <is>
          <t>X</t>
        </is>
      </c>
      <c r="T15" s="11" t="inlineStr"/>
      <c r="U15" s="11" t="inlineStr"/>
      <c r="V15" s="11" t="inlineStr"/>
    </row>
    <row r="16" ht="57.5" customHeight="1">
      <c r="A16" s="7" t="inlineStr">
        <is>
          <t>TC-LINKCODE-08</t>
        </is>
      </c>
      <c r="B16" s="7" t="inlineStr">
        <is>
          <t>Tách mã từ qr_payload được đúng code</t>
        </is>
      </c>
      <c r="C16" s="8" t="inlineStr">
        <is>
          <t>User thường đã đăng nhập; đã đồng ý family_sharing (BS-05, từ 3.13)</t>
        </is>
      </c>
      <c r="D16" s="8" t="inlineStr">
        <is>
          <t>1. GET /family/link-code
2. Phân tích qr_payload như URL, lấy tham số code</t>
        </is>
      </c>
      <c r="E16" s="8" t="inlineStr">
        <is>
          <t>qr_payload trong response</t>
        </is>
      </c>
      <c r="F16" s="8" t="inlineStr">
        <is>
          <t>qr_payload = drugtime://link?code=&lt;code&gt;; scheme drugtime, host link, tham số code = code</t>
        </is>
      </c>
      <c r="G16" s="8" t="inlineStr">
        <is>
          <t>Đúng định dạng; tham số code bằng code của response</t>
        </is>
      </c>
      <c r="H16" s="7" t="inlineStr">
        <is>
          <t>Pass</t>
        </is>
      </c>
      <c r="I16" s="8" t="inlineStr">
        <is>
          <t>AC5 · test_qr_payload_contains_code__AC5, test_qr_payload_roundtrip__AC5</t>
        </is>
      </c>
      <c r="Q16" s="10" t="inlineStr">
        <is>
          <t>403 family_sharing_consent_required, không sinh mã</t>
        </is>
      </c>
      <c r="R16" s="11" t="inlineStr"/>
      <c r="S16" s="11" t="inlineStr"/>
      <c r="T16" s="11" t="inlineStr">
        <is>
          <t>X</t>
        </is>
      </c>
      <c r="U16" s="11" t="inlineStr"/>
      <c r="V16" s="11" t="inlineStr"/>
    </row>
    <row r="17" ht="90.5" customHeight="1">
      <c r="A17" s="7" t="inlineStr">
        <is>
          <t>TC-LINKCODE-09</t>
        </is>
      </c>
      <c r="B17" s="7" t="inlineStr">
        <is>
          <t>Không lấy được hoặc tạo mã cho user khác bằng tham số query</t>
        </is>
      </c>
      <c r="C17" s="8" t="inlineStr">
        <is>
          <t>Hai user thường U, V; V chưa có mã; đã đồng ý family_sharing (BS-05, từ 3.13)</t>
        </is>
      </c>
      <c r="D17" s="8" t="inlineStr">
        <is>
          <t>1. U gọi GET /family/link-code
2. U gọi GET /family/link-code?patient_user_id=&lt;V&gt;&amp;user_id=&lt;V&gt;
3. Kiểm link_codes của V
4. V gọi GET /family/link-code</t>
        </is>
      </c>
      <c r="E17" s="8" t="inlineStr">
        <is>
          <t>patient_user_id = id của V</t>
        </is>
      </c>
      <c r="F17" s="8" t="inlineStr">
        <is>
          <t>Lần 2 vẫn trả mã của U; V không có dòng nào cho tới khi V tự gọi; mã của V khác mã của U</t>
        </is>
      </c>
      <c r="G17" s="8" t="inlineStr">
        <is>
          <t>Trả mã của U; V không có dòng; sau đó V nhận mã riêng, khác mã của U</t>
        </is>
      </c>
      <c r="H17" s="7" t="inlineStr">
        <is>
          <t>Pass</t>
        </is>
      </c>
      <c r="I17" s="8" t="inlineStr">
        <is>
          <t>AC6 · Đoán lỗi (truy cập dữ liệu người khác) · test_codes_are_per_user_and_query_ignored__AC6</t>
        </is>
      </c>
      <c r="Q17" s="10" t="inlineStr">
        <is>
          <t>200, trả mã cũ, không ghi gì</t>
        </is>
      </c>
      <c r="R17" s="11" t="inlineStr"/>
      <c r="S17" s="11" t="inlineStr"/>
      <c r="T17" s="11" t="inlineStr"/>
      <c r="U17" s="11" t="inlineStr">
        <is>
          <t>X</t>
        </is>
      </c>
      <c r="V17" s="11" t="inlineStr"/>
    </row>
    <row r="18" ht="57.5" customHeight="1">
      <c r="A18" s="7" t="inlineStr">
        <is>
          <t>TC-LINKCODE-10</t>
        </is>
      </c>
      <c r="B18" s="7" t="inlineStr">
        <is>
          <t>Sinh lại khi mã trùng với mã của user khác</t>
        </is>
      </c>
      <c r="C18" s="8" t="inlineStr">
        <is>
          <t>Mã đầu tiên sinh ra đã thuộc user khác (fake repository)</t>
        </is>
      </c>
      <c r="D18" s="8" t="inlineStr">
        <is>
          <t>1. Gọi use case get_link_code với generate trả lần lượt mã đã có rồi mã mới</t>
        </is>
      </c>
      <c r="E18" s="8" t="inlineStr">
        <is>
          <t>TAKEN23456 (đã có), FRESH23456</t>
        </is>
      </c>
      <c r="F18" s="8" t="inlineStr">
        <is>
          <t>Trả FRESH23456; insert được gọi 2 lần</t>
        </is>
      </c>
      <c r="G18" s="8" t="inlineStr">
        <is>
          <t>Trả FRESH23456 sau 2 lần insert</t>
        </is>
      </c>
      <c r="H18" s="7" t="inlineStr">
        <is>
          <t>Pass</t>
        </is>
      </c>
      <c r="I18" s="8" t="inlineStr">
        <is>
          <t>AC7 · Đoán lỗi (trùng mã) · test_retries_on_code_collision__AC7</t>
        </is>
      </c>
      <c r="Q18" s="10" t="inlineStr">
        <is>
          <t>200, sinh và lưu một mã mới</t>
        </is>
      </c>
      <c r="R18" s="11" t="inlineStr"/>
      <c r="S18" s="11" t="inlineStr"/>
      <c r="T18" s="11" t="inlineStr"/>
      <c r="U18" s="11" t="inlineStr"/>
      <c r="V18" s="11" t="inlineStr">
        <is>
          <t>X</t>
        </is>
      </c>
    </row>
    <row r="19" ht="74" customHeight="1">
      <c r="A19" s="7" t="inlineStr">
        <is>
          <t>TC-LINKCODE-11</t>
        </is>
      </c>
      <c r="B19" s="7" t="inlineStr">
        <is>
          <t>Trả 503 link_code_unavailable khi trùng mã ở cả 5 lần thử</t>
        </is>
      </c>
      <c r="C19" s="8" t="inlineStr">
        <is>
          <t>Mọi mã sinh ra đều đã thuộc user khác (fake repository)</t>
        </is>
      </c>
      <c r="D19" s="8" t="inlineStr">
        <is>
          <t>1. Gọi use case get_link_code với generate luôn trả mã đã có</t>
        </is>
      </c>
      <c r="E19" s="8" t="inlineStr">
        <is>
          <t>TAKEN23456 × 5</t>
        </is>
      </c>
      <c r="F19" s="8" t="inlineStr">
        <is>
          <t>ServiceUnavailable("link_code_unavailable") (HTTP 503) sau đúng 5 lần insert; không lưu gì; message không chứa mã</t>
        </is>
      </c>
      <c r="G19" s="8" t="inlineStr">
        <is>
          <t>ServiceUnavailable link_code_unavailable sau 5 lần; không lưu; message không có mã</t>
        </is>
      </c>
      <c r="H19" s="7" t="inlineStr">
        <is>
          <t>Pass</t>
        </is>
      </c>
      <c r="I19" s="8" t="inlineStr">
        <is>
          <t>AC7 · AC10 · BVA (max = 5 lần thử) · test_gives_up_after_max_attempts_503__AC7, test_errors_do_not_contain_code__AC10</t>
        </is>
      </c>
    </row>
    <row r="20" ht="57.5" customHeight="1">
      <c r="A20" s="7" t="inlineStr">
        <is>
          <t>TC-LINKCODE-12</t>
        </is>
      </c>
      <c r="B20" s="7" t="inlineStr">
        <is>
          <t>Gọi không có header Authorization</t>
        </is>
      </c>
      <c r="C20" s="8" t="inlineStr">
        <is>
          <t>Không đăng nhập</t>
        </is>
      </c>
      <c r="D20" s="8" t="inlineStr">
        <is>
          <t>1. GET /family/link-code không có header Authorization
2. Đếm dòng link_codes trước và sau</t>
        </is>
      </c>
      <c r="E20" s="8" t="inlineStr">
        <is>
          <t>(blank)</t>
        </is>
      </c>
      <c r="F20" s="8" t="inlineStr">
        <is>
          <t>401; số dòng link_codes không đổi</t>
        </is>
      </c>
      <c r="G20" s="8" t="inlineStr">
        <is>
          <t>401; không có dòng mới</t>
        </is>
      </c>
      <c r="H20" s="7" t="inlineStr">
        <is>
          <t>Pass</t>
        </is>
      </c>
      <c r="I20" s="8" t="inlineStr">
        <is>
          <t>AC8 · EP (4) · Decision Table (R1) · test_unauthenticated_401_no_row__AC8[no_header]</t>
        </is>
      </c>
    </row>
    <row r="21" ht="57.5" customHeight="1">
      <c r="A21" s="7" t="inlineStr">
        <is>
          <t>TC-LINKCODE-13</t>
        </is>
      </c>
      <c r="B21" s="7" t="inlineStr">
        <is>
          <t>Gọi với token sai</t>
        </is>
      </c>
      <c r="C21" s="8" t="inlineStr">
        <is>
          <t>Không có phiên hợp lệ</t>
        </is>
      </c>
      <c r="D21" s="8" t="inlineStr">
        <is>
          <t>1. GET /family/link-code với Authorization: Bearer not-a-valid-token</t>
        </is>
      </c>
      <c r="E21" s="8" t="inlineStr">
        <is>
          <t>Bearer not-a-valid-token</t>
        </is>
      </c>
      <c r="F21" s="8" t="inlineStr">
        <is>
          <t>401; không có dòng mới</t>
        </is>
      </c>
      <c r="G21" s="8" t="inlineStr">
        <is>
          <t>401; không có dòng mới</t>
        </is>
      </c>
      <c r="H21" s="7" t="inlineStr">
        <is>
          <t>Pass</t>
        </is>
      </c>
      <c r="I21" s="8" t="inlineStr">
        <is>
          <t>AC8 · EP (5) · Decision Table (R1) · test_unauthenticated_401_no_row__AC8[bad_token]</t>
        </is>
      </c>
    </row>
    <row r="22" ht="57.5" customHeight="1">
      <c r="A22" s="7" t="inlineStr">
        <is>
          <t>TC-LINKCODE-14</t>
        </is>
      </c>
      <c r="B22" s="7" t="inlineStr">
        <is>
          <t>Gọi bằng token của tài khoản đã xóa dữ liệu</t>
        </is>
      </c>
      <c r="C22" s="8" t="inlineStr">
        <is>
          <t>User U có phiên mobile hợp lệ, sau đó users.erased_at được đặt</t>
        </is>
      </c>
      <c r="D22" s="8" t="inlineStr">
        <is>
          <t>1. GET /family/link-code với token của U</t>
        </is>
      </c>
      <c r="E22" s="8" t="inlineStr">
        <is>
          <t>Token đúng chữ ký, tài khoản đã xóa</t>
        </is>
      </c>
      <c r="F22" s="8" t="inlineStr">
        <is>
          <t>401; U không có dòng link_codes</t>
        </is>
      </c>
      <c r="G22" s="8" t="inlineStr">
        <is>
          <t>401; không có dòng</t>
        </is>
      </c>
      <c r="H22" s="7" t="inlineStr">
        <is>
          <t>Pass</t>
        </is>
      </c>
      <c r="I22" s="8" t="inlineStr">
        <is>
          <t>AC8 · EP (6) · Decision Table (R1) · test_unauthenticated_401_no_row__AC8[erased_account]</t>
        </is>
      </c>
    </row>
    <row r="23" ht="57.5" customHeight="1">
      <c r="A23" s="7" t="inlineStr">
        <is>
          <t>TC-LINKCODE-15</t>
        </is>
      </c>
      <c r="B23" s="7" t="inlineStr">
        <is>
          <t>Gọi bằng token của user không tồn tại</t>
        </is>
      </c>
      <c r="C23" s="8" t="inlineStr">
        <is>
          <t>Token đúng chữ ký với sub là UUID ngẫu nhiên không có trong users</t>
        </is>
      </c>
      <c r="D23" s="8" t="inlineStr">
        <is>
          <t>1. GET /family/link-code với token đó</t>
        </is>
      </c>
      <c r="E23" s="8" t="inlineStr">
        <is>
          <t>sub = uuid4() ngẫu nhiên</t>
        </is>
      </c>
      <c r="F23" s="8" t="inlineStr">
        <is>
          <t>401</t>
        </is>
      </c>
      <c r="G23" s="8" t="inlineStr">
        <is>
          <t>401</t>
        </is>
      </c>
      <c r="H23" s="7" t="inlineStr">
        <is>
          <t>Pass</t>
        </is>
      </c>
      <c r="I23" s="8" t="inlineStr">
        <is>
          <t>AC8 · EP (7) · test_unknown_user_token_401</t>
        </is>
      </c>
    </row>
    <row r="24" ht="107" customHeight="1">
      <c r="A24" s="7" t="inlineStr">
        <is>
          <t>TC-LINKCODE-16</t>
        </is>
      </c>
      <c r="B24" s="7" t="inlineStr">
        <is>
          <t>Tài khoản admin bị từ chối lấy mã</t>
        </is>
      </c>
      <c r="C24" s="8" t="inlineStr">
        <is>
          <t>Tài khoản admin có phiên admin_web</t>
        </is>
      </c>
      <c r="D24" s="8" t="inlineStr">
        <is>
          <t>1. GET /family/link-code với phiên admin
2. Đếm dòng link_codes trước và sau</t>
        </is>
      </c>
      <c r="E24" s="8" t="inlineStr">
        <is>
          <t>Phiên admin_web</t>
        </is>
      </c>
      <c r="F24" s="8" t="inlineStr">
        <is>
          <t>403 {"detail": "khong_co_quyen"}; không có dòng mới; admin bị chặn trước khi kiểm consent</t>
        </is>
      </c>
      <c r="G24" s="8" t="inlineStr">
        <is>
          <t>403 {"detail": "khong_co_quyen"}; không có dòng mới</t>
        </is>
      </c>
      <c r="H24" s="7" t="inlineStr">
        <is>
          <t>Pass</t>
        </is>
      </c>
      <c r="I24" s="8" t="inlineStr">
        <is>
          <t>AC9 · EP (8) · Decision Table (R2) · test_admin_403_khong_co_quyen_no_row__AC9, test_admin_forbidden_before_any_query__AC9, test_admin_checked_before_consent__AC32</t>
        </is>
      </c>
    </row>
    <row r="25" ht="57.5" customHeight="1">
      <c r="A25" s="7" t="inlineStr">
        <is>
          <t>TC-LINKCODE-17</t>
        </is>
      </c>
      <c r="B25" s="7" t="inlineStr">
        <is>
          <t>Mã và qr_payload không xuất hiện trong log ứng dụng</t>
        </is>
      </c>
      <c r="C25" s="8" t="inlineStr">
        <is>
          <t>Logger drugtime ở mức DEBUG; đã đồng ý family_sharing (BS-05, từ 3.13)</t>
        </is>
      </c>
      <c r="D25" s="8" t="inlineStr">
        <is>
          <t>1. Gọi GET /family/link-code 2 lần (sinh mã, rồi lấy lại)
2. Tìm code và qr_payload trong log bắt được</t>
        </is>
      </c>
      <c r="E25" s="8" t="inlineStr">
        <is>
          <t>caplog</t>
        </is>
      </c>
      <c r="F25" s="8" t="inlineStr">
        <is>
          <t>Không dòng log nào chứa code hay qr_payload</t>
        </is>
      </c>
      <c r="G25" s="8" t="inlineStr">
        <is>
          <t>Không có</t>
        </is>
      </c>
      <c r="H25" s="7" t="inlineStr">
        <is>
          <t>Pass</t>
        </is>
      </c>
      <c r="I25" s="8" t="inlineStr">
        <is>
          <t>AC10 · Đoán lỗi (bí mật) · test_code_not_logged__AC10</t>
        </is>
      </c>
    </row>
    <row r="26" ht="57.5" customHeight="1">
      <c r="A26" s="7" t="inlineStr">
        <is>
          <t>TC-LINKCODE-18</t>
        </is>
      </c>
      <c r="B26" s="7" t="inlineStr">
        <is>
          <t>Bảng link_codes sau migration chỉ còn cột của mô hình mã cố định</t>
        </is>
      </c>
      <c r="C26" s="8" t="inlineStr">
        <is>
          <t>supabase db reset (10 migration)</t>
        </is>
      </c>
      <c r="D26" s="8" t="inlineStr">
        <is>
          <t>1. Đọc information_schema.columns và pg_indexes của link_codes</t>
        </is>
      </c>
      <c r="E26" s="8" t="inlineStr">
        <is>
          <t>-</t>
        </is>
      </c>
      <c r="F26" s="8" t="inlineStr">
        <is>
          <t>Cột: id, patient_user_id, code, created_at; index: link_codes_code_key, link_codes_patient_user_id_key, link_codes_pkey</t>
        </is>
      </c>
      <c r="G26" s="8" t="inlineStr">
        <is>
          <t>Đúng như mong đợi</t>
        </is>
      </c>
      <c r="H26" s="7" t="inlineStr">
        <is>
          <t>Pass</t>
        </is>
      </c>
      <c r="I26" s="8" t="inlineStr">
        <is>
          <t>AC11 · test_link_codes_columns_after_migration__AC11</t>
        </is>
      </c>
    </row>
    <row r="27" ht="41" customHeight="1">
      <c r="A27" s="7" t="inlineStr">
        <is>
          <t>TC-LINKCODE-19</t>
        </is>
      </c>
      <c r="B27" s="7" t="inlineStr">
        <is>
          <t>DB từ chối mã thứ hai cho cùng một user</t>
        </is>
      </c>
      <c r="C27" s="8" t="inlineStr">
        <is>
          <t>User U đã có một dòng link_codes</t>
        </is>
      </c>
      <c r="D27" s="8" t="inlineStr">
        <is>
          <t>1. INSERT dòng link_codes thứ hai cho U với mã khác</t>
        </is>
      </c>
      <c r="E27" s="8" t="inlineStr">
        <is>
          <t>Mã ngẫu nhiên hợp lệ</t>
        </is>
      </c>
      <c r="F27" s="8" t="inlineStr">
        <is>
          <t>Lỗi vi phạm link_codes_patient_user_id_key; U vẫn 1 dòng</t>
        </is>
      </c>
      <c r="G27" s="8" t="inlineStr">
        <is>
          <t>Lỗi link_codes_patient_user_id_key; vẫn 1 dòng</t>
        </is>
      </c>
      <c r="H27" s="7" t="inlineStr">
        <is>
          <t>Pass</t>
        </is>
      </c>
      <c r="I27" s="8" t="inlineStr">
        <is>
          <t>AC11 · test_second_code_for_same_user_rejected__AC11</t>
        </is>
      </c>
    </row>
    <row r="28" ht="41" customHeight="1">
      <c r="A28" s="7" t="inlineStr">
        <is>
          <t>TC-LINKCODE-20</t>
        </is>
      </c>
      <c r="B28" s="7" t="inlineStr">
        <is>
          <t>DB từ chối mã trùng của hai user khác nhau</t>
        </is>
      </c>
      <c r="C28" s="8" t="inlineStr">
        <is>
          <t>User U có mã C</t>
        </is>
      </c>
      <c r="D28" s="8" t="inlineStr">
        <is>
          <t>1. INSERT dòng link_codes cho user V với cùng mã C</t>
        </is>
      </c>
      <c r="E28" s="8" t="inlineStr">
        <is>
          <t>C của U</t>
        </is>
      </c>
      <c r="F28" s="8" t="inlineStr">
        <is>
          <t>Lỗi vi phạm link_codes_code_key; V không có dòng</t>
        </is>
      </c>
      <c r="G28" s="8" t="inlineStr">
        <is>
          <t>Lỗi link_codes_code_key; V không có dòng</t>
        </is>
      </c>
      <c r="H28" s="7" t="inlineStr">
        <is>
          <t>Pass</t>
        </is>
      </c>
      <c r="I28" s="8" t="inlineStr">
        <is>
          <t>AC11 · test_duplicate_code_rejected__AC11</t>
        </is>
      </c>
    </row>
    <row r="29" ht="123.5" customHeight="1">
      <c r="A29" s="7" t="inlineStr">
        <is>
          <t>TC-LINKCODE-21</t>
        </is>
      </c>
      <c r="B29" s="7" t="inlineStr">
        <is>
          <t>Migration dọn trùng giữ đúng dòng mới nhất và xóa mã sai định dạng</t>
        </is>
      </c>
      <c r="C29" s="8" t="inlineStr">
        <is>
          <t>DB reset về 20261011164026 (trước migration), schema cũ. A: 2 mã hợp lệ (cách nhau 1 ngày); B: 1 mã hợp lệ; C: chỉ có mã sai định dạng; D: mã hợp lệ (cũ hơn) + mã sai định dạng (mới hơn)</t>
        </is>
      </c>
      <c r="D29" s="8" t="inlineStr">
        <is>
          <t>1. supabase migration up --local
2. Đọc link_codes của A, B, C, D
3. supabase db reset lại đầy đủ</t>
        </is>
      </c>
      <c r="E29" s="8" t="inlineStr">
        <is>
          <t>A: AAAAAAAAA2 (cũ), AAAAAAAAA3 (mới); B: BBBBBBBBB2; C: LEGACYIO01; D: DDDDDDDDD2 (cũ), legacy-d0 (mới)</t>
        </is>
      </c>
      <c r="F29" s="8" t="inlineStr">
        <is>
          <t>A còn AAAAAAAAA3; B còn BBBBBBBBB2; C không còn dòng; D còn DDDDDDDDD2</t>
        </is>
      </c>
      <c r="G29" s="8" t="inlineStr">
        <is>
          <t>A: AAAAAAAAA3; B: BBBBBBBBB2; C: không có dòng; D: DDDDDDDDD2</t>
        </is>
      </c>
      <c r="H29" s="7" t="inlineStr">
        <is>
          <t>Pass</t>
        </is>
      </c>
      <c r="I29" s="8" t="inlineStr">
        <is>
          <t>AC12 · Review F1 · Chuyển trạng thái (schema cũ → mới) · scratch/verify_link_codes_dedupe.py · kết quả của task 3.10 (2026-10-13), 3.13 không chạy lại</t>
        </is>
      </c>
    </row>
    <row r="30" ht="57.5" customHeight="1">
      <c r="A30" s="7" t="inlineStr">
        <is>
          <t>TC-LINKCODE-22</t>
        </is>
      </c>
      <c r="B30" s="7" t="inlineStr">
        <is>
          <t>api_role chỉ đọc và tạo được mã</t>
        </is>
      </c>
      <c r="C30" s="8" t="inlineStr">
        <is>
          <t>Kết nối bằng api_role; mỗi thao tác trong transaction riêng rồi rollback</t>
        </is>
      </c>
      <c r="D30" s="8" t="inlineStr">
        <is>
          <t>1. SELECT, INSERT, UPDATE, DELETE trên link_codes bằng api_role</t>
        </is>
      </c>
      <c r="E30" s="8" t="inlineStr">
        <is>
          <t>-</t>
        </is>
      </c>
      <c r="F30" s="8" t="inlineStr">
        <is>
          <t>SELECT, INSERT thành công; UPDATE, DELETE bị từ chối (permission denied)</t>
        </is>
      </c>
      <c r="G30" s="8" t="inlineStr">
        <is>
          <t>Đúng như mong đợi</t>
        </is>
      </c>
      <c r="H30" s="7" t="inlineStr">
        <is>
          <t>Pass</t>
        </is>
      </c>
      <c r="I30" s="8" t="inlineStr">
        <is>
          <t>AC13 · test_role_grants_on_link_codes__AC13[api_role-*]</t>
        </is>
      </c>
    </row>
    <row r="31" ht="57.5" customHeight="1">
      <c r="A31" s="7" t="inlineStr">
        <is>
          <t>TC-LINKCODE-23</t>
        </is>
      </c>
      <c r="B31" s="7" t="inlineStr">
        <is>
          <t>worker_role chỉ đọc và xóa được mã</t>
        </is>
      </c>
      <c r="C31" s="8" t="inlineStr">
        <is>
          <t>Kết nối bằng worker_role; mỗi thao tác trong transaction riêng rồi rollback</t>
        </is>
      </c>
      <c r="D31" s="8" t="inlineStr">
        <is>
          <t>1. SELECT, INSERT, UPDATE, DELETE trên link_codes bằng worker_role</t>
        </is>
      </c>
      <c r="E31" s="8" t="inlineStr">
        <is>
          <t>-</t>
        </is>
      </c>
      <c r="F31" s="8" t="inlineStr">
        <is>
          <t>SELECT, DELETE thành công; INSERT, UPDATE bị từ chối (permission denied)</t>
        </is>
      </c>
      <c r="G31" s="8" t="inlineStr">
        <is>
          <t>Đúng như mong đợi</t>
        </is>
      </c>
      <c r="H31" s="7" t="inlineStr">
        <is>
          <t>Pass</t>
        </is>
      </c>
      <c r="I31" s="8" t="inlineStr">
        <is>
          <t>AC13 · test_role_grants_on_link_codes__AC13[worker_role-*]</t>
        </is>
      </c>
    </row>
    <row r="32" ht="74" customHeight="1">
      <c r="A32" s="7" t="inlineStr">
        <is>
          <t>TC-LINKCODE-24</t>
        </is>
      </c>
      <c r="B32" s="7" t="inlineStr">
        <is>
          <t>Xóa dữ liệu user xóa đúng mã của user đó</t>
        </is>
      </c>
      <c r="C32" s="8" t="inlineStr">
        <is>
          <t>User U và V đều có mã</t>
        </is>
      </c>
      <c r="D32" s="8" t="inlineStr">
        <is>
          <t>1. Chạy family.eraser.erase_user(U) bằng kết nối worker_role
2. Đọc link_codes của U và V</t>
        </is>
      </c>
      <c r="E32" s="8" t="inlineStr">
        <is>
          <t>-</t>
        </is>
      </c>
      <c r="F32" s="8" t="inlineStr">
        <is>
          <t>Không lỗi; U không còn mã; mã của V còn nguyên</t>
        </is>
      </c>
      <c r="G32" s="8" t="inlineStr">
        <is>
          <t>Không lỗi; U hết mã; V còn mã</t>
        </is>
      </c>
      <c r="H32" s="7" t="inlineStr">
        <is>
          <t>Pass</t>
        </is>
      </c>
      <c r="I32" s="8" t="inlineStr">
        <is>
          <t>AC14 · test_family_eraser_deletes_only_that_users_code__AC14, test_sql_erase_deletes_link_code_without_family_column__AC14</t>
        </is>
      </c>
    </row>
    <row r="33" ht="57.5" customHeight="1">
      <c r="A33" s="7" t="inlineStr">
        <is>
          <t>TC-LINKCODE-25</t>
        </is>
      </c>
      <c r="B33" s="7" t="inlineStr">
        <is>
          <t>OpenAPI của app khớp hợp đồng api_contract</t>
        </is>
      </c>
      <c r="C33" s="8" t="inlineStr">
        <is>
          <t>api_contract/openapi.json có GET /family/link-code</t>
        </is>
      </c>
      <c r="D33" s="8" t="inlineStr">
        <is>
          <t>1. So operationId, tập response code, hình dạng và ràng buộc response 200 giữa app và contract</t>
        </is>
      </c>
      <c r="E33" s="8" t="inlineStr">
        <is>
          <t>-</t>
        </is>
      </c>
      <c r="F33" s="8" t="inlineStr">
        <is>
          <t>operationId getMyLinkCode; response ⊆; code/qr_payload cùng pattern, minLength, maxLength; additionalProperties false</t>
        </is>
      </c>
      <c r="G33" s="8" t="inlineStr">
        <is>
          <t>Khớp</t>
        </is>
      </c>
      <c r="H33" s="7" t="inlineStr">
        <is>
          <t>Pass</t>
        </is>
      </c>
      <c r="I33" s="8" t="inlineStr">
        <is>
          <t>AC15 · test_operation_matches_contract__AC15, test_link_code_constraints_match_contract__AC15</t>
        </is>
      </c>
    </row>
    <row r="34" ht="57.5" customHeight="1">
      <c r="A34" s="7" t="inlineStr">
        <is>
          <t>TC-LINKCODE-BVA-01</t>
        </is>
      </c>
      <c r="B34" s="7" t="inlineStr">
        <is>
          <t>Contract từ chối mã 9 ký tự</t>
        </is>
      </c>
      <c r="C34" s="8" t="inlineStr">
        <is>
          <t>Schema LinkCode trong api_contract/openapi.json</t>
        </is>
      </c>
      <c r="D34" s="8" t="inlineStr">
        <is>
          <t>1. Validate body có code 9 ký tự với schema LinkCode</t>
        </is>
      </c>
      <c r="E34" s="8" t="inlineStr">
        <is>
          <t>code = ABCDEFGHJ</t>
        </is>
      </c>
      <c r="F34" s="8" t="inlineStr">
        <is>
          <t>Bị từ chối</t>
        </is>
      </c>
      <c r="G34" s="8" t="inlineStr">
        <is>
          <t>Bị từ chối</t>
        </is>
      </c>
      <c r="H34" s="7" t="inlineStr">
        <is>
          <t>Pass</t>
        </is>
      </c>
      <c r="I34" s="8" t="inlineStr">
        <is>
          <t>AC4 · BVA (min-1) · EP (13) · scratch/check_link_code_310.py (chạy lại ở 3.13)</t>
        </is>
      </c>
    </row>
    <row r="35" ht="57.5" customHeight="1">
      <c r="A35" s="7" t="inlineStr">
        <is>
          <t>TC-LINKCODE-BVA-02</t>
        </is>
      </c>
      <c r="B35" s="7" t="inlineStr">
        <is>
          <t>Contract nhận mã đúng 10 ký tự</t>
        </is>
      </c>
      <c r="C35" s="8" t="inlineStr">
        <is>
          <t>Schema LinkCode</t>
        </is>
      </c>
      <c r="D35" s="8" t="inlineStr">
        <is>
          <t>1. Validate body có code 10 ký tự hợp lệ</t>
        </is>
      </c>
      <c r="E35" s="8" t="inlineStr">
        <is>
          <t>code = ABCDEFGHJK</t>
        </is>
      </c>
      <c r="F35" s="8" t="inlineStr">
        <is>
          <t>Hợp lệ</t>
        </is>
      </c>
      <c r="G35" s="8" t="inlineStr">
        <is>
          <t>Hợp lệ</t>
        </is>
      </c>
      <c r="H35" s="7" t="inlineStr">
        <is>
          <t>Pass</t>
        </is>
      </c>
      <c r="I35" s="8" t="inlineStr">
        <is>
          <t>AC4 · BVA (min = max) · EP (3) · scratch/check_link_code_310.py (chạy lại ở 3.13)</t>
        </is>
      </c>
    </row>
    <row r="36" ht="57.5" customHeight="1">
      <c r="A36" s="7" t="inlineStr">
        <is>
          <t>TC-LINKCODE-BVA-03</t>
        </is>
      </c>
      <c r="B36" s="7" t="inlineStr">
        <is>
          <t>Contract từ chối mã 11 ký tự</t>
        </is>
      </c>
      <c r="C36" s="8" t="inlineStr">
        <is>
          <t>Schema LinkCode</t>
        </is>
      </c>
      <c r="D36" s="8" t="inlineStr">
        <is>
          <t>1. Validate body có code 11 ký tự</t>
        </is>
      </c>
      <c r="E36" s="8" t="inlineStr">
        <is>
          <t>code = ABCDEFGHJKM</t>
        </is>
      </c>
      <c r="F36" s="8" t="inlineStr">
        <is>
          <t>Bị từ chối</t>
        </is>
      </c>
      <c r="G36" s="8" t="inlineStr">
        <is>
          <t>Bị từ chối</t>
        </is>
      </c>
      <c r="H36" s="7" t="inlineStr">
        <is>
          <t>Pass</t>
        </is>
      </c>
      <c r="I36" s="8" t="inlineStr">
        <is>
          <t>AC4 · BVA (max+1) · EP (13) · scratch/check_link_code_310.py (chạy lại ở 3.13)</t>
        </is>
      </c>
    </row>
    <row r="37" ht="57.5" customHeight="1">
      <c r="A37" s="7" t="inlineStr">
        <is>
          <t>TC-LINKCODE-26</t>
        </is>
      </c>
      <c r="B37" s="7" t="inlineStr">
        <is>
          <t>Contract từ chối mã có ký tự dễ nhầm hoặc chữ thường</t>
        </is>
      </c>
      <c r="C37" s="8" t="inlineStr">
        <is>
          <t>Schema LinkCode</t>
        </is>
      </c>
      <c r="D37" s="8" t="inlineStr">
        <is>
          <t>1. Validate lần lượt mã chứa O, I, L, 0, 1 và mã chữ thường</t>
        </is>
      </c>
      <c r="E37" s="8" t="inlineStr">
        <is>
          <t>ABCDEFGHJO, ABCDEFGHJI, ABCDEFGHJL, ABCDEFGHJ0, ABCDEFGHJ1, abcdefghjk</t>
        </is>
      </c>
      <c r="F37" s="8" t="inlineStr">
        <is>
          <t>Cả 6 bị từ chối</t>
        </is>
      </c>
      <c r="G37" s="8" t="inlineStr">
        <is>
          <t>Cả 6 bị từ chối</t>
        </is>
      </c>
      <c r="H37" s="7" t="inlineStr">
        <is>
          <t>Pass</t>
        </is>
      </c>
      <c r="I37" s="8" t="inlineStr">
        <is>
          <t>AC4 · EP (11,12) · scratch/check_link_code_310.py (chạy lại ở 3.13)</t>
        </is>
      </c>
    </row>
    <row r="38" ht="90.5" customHeight="1">
      <c r="A38" s="7" t="inlineStr">
        <is>
          <t>TC-LINKCODE-27</t>
        </is>
      </c>
      <c r="B38" s="7" t="inlineStr">
        <is>
          <t>Backlog và tài liệu schema khớp QD-04, giữ nguyên biểu đồ</t>
        </is>
      </c>
      <c r="C38" s="8" t="inlineStr">
        <is>
          <t>docs trên nhánh feat/3.10-qr-referral-code-generation-api</t>
        </is>
      </c>
      <c r="D38" s="8" t="inlineStr">
        <is>
          <t>1. Chạy scratch/update_backlog_xlsx.py (kiểm so với bản gốc)
2. Mở backlog bằng Excel (chỉ đọc)
3. grep block link_codes trong drugtime_schema_v11.sql</t>
        </is>
      </c>
      <c r="E38" s="8" t="inlineStr">
        <is>
          <t>Product-and-Sprint-backlog-DrugTime.xlsx, drugtime_schema_v11.sql</t>
        </is>
      </c>
      <c r="F38" s="8" t="inlineStr">
        <is>
          <t>PB15, PB19, mô tả 3.12, 3.13 là chuỗi mới; không còn 24h, /links/generate, /links/redeem; 107 phần, 12 chart; Excel mở không báo sửa file; schema không còn expires_at, is_used, family_user_id</t>
        </is>
      </c>
      <c r="G38" s="8" t="inlineStr">
        <is>
          <t>ALL OK; Excel mở được, 18 sheet, 12 chart; schema đúng</t>
        </is>
      </c>
      <c r="H38" s="7" t="inlineStr">
        <is>
          <t>Pass</t>
        </is>
      </c>
      <c r="I38" s="8" t="inlineStr">
        <is>
          <t>AC17 · manual + script · kết quả của task 3.10 (2026-10-13), 3.13 không chạy lại</t>
        </is>
      </c>
    </row>
    <row r="39" ht="123.5" customHeight="1">
      <c r="A39" s="7" t="inlineStr">
        <is>
          <t>TC-LINKCODE-28</t>
        </is>
      </c>
      <c r="B39" s="7" t="inlineStr">
        <is>
          <t>Toàn bộ unit test, architecture test và ruff toàn repo pass</t>
        </is>
      </c>
      <c r="C39" s="8" t="inlineStr">
        <is>
          <t>backend trên nhánh feat/3.13-backend-post-links; venv backend/.venv</t>
        </is>
      </c>
      <c r="D39" s="8" t="inlineStr">
        <is>
          <t>1. pytest tests/unit tests/architecture -q
2. ruff check .
3. So với baseline trước khi sửa code</t>
        </is>
      </c>
      <c r="E39" s="8" t="inlineStr">
        <is>
          <t>-</t>
        </is>
      </c>
      <c r="F39" s="8" t="inlineStr">
        <is>
          <t>pytest và ruff đều pass</t>
        </is>
      </c>
      <c r="G39" s="8" t="inlineStr">
        <is>
          <t>pytest tests/unit tests/architecture: 885 passed, 18 failed (test_contract_profile.py ×12, test_profile_http.py ×6); ruff check . 19 lỗi ở module khác. Cùng danh sách với baseline trước khi 3.13 sửa code; file của task pass ruff. Lỗi test_app.py của lần chạy 3.10 không còn</t>
        </is>
      </c>
      <c r="H39" s="7" t="inlineStr">
        <is>
          <t>Fail</t>
        </is>
      </c>
      <c r="I39" s="8" t="inlineStr">
        <is>
          <t>AC16 (3.10) · implement-baseline-unit.log, test-unit-2.log, implement-final-backend.log</t>
        </is>
      </c>
    </row>
    <row r="40" ht="74" customHeight="1">
      <c r="A40" s="7" t="inlineStr">
        <is>
          <t>TC-LINKCODE-29</t>
        </is>
      </c>
      <c r="B40" s="7" t="inlineStr">
        <is>
          <t>DB từ chối lưu mã sai định dạng</t>
        </is>
      </c>
      <c r="C40" s="8" t="inlineStr">
        <is>
          <t>supabase db reset (migration có link_codes_code_format_check); user U chưa có mã</t>
        </is>
      </c>
      <c r="D40" s="8" t="inlineStr">
        <is>
          <t>1. INSERT link_codes cho U với từng mã sai định dạng
2. Đọc link_codes của U</t>
        </is>
      </c>
      <c r="E40" s="8" t="inlineStr">
        <is>
          <t>LEGACYIO01 (ký tự dễ nhầm) | abcdefghjk (chữ thường) | ABCDEFGHJ (9 ký tự) | ABCDEFGHJKM (11 ký tự)</t>
        </is>
      </c>
      <c r="F40" s="8" t="inlineStr">
        <is>
          <t>Cả 4 lần bị từ chối với lỗi vi phạm link_codes_code_format_check; U không có dòng nào</t>
        </is>
      </c>
      <c r="G40" s="8" t="inlineStr">
        <is>
          <t>Cả 4 bị từ chối bởi link_codes_code_format_check; U không có dòng</t>
        </is>
      </c>
      <c r="H40" s="7" t="inlineStr">
        <is>
          <t>Pass</t>
        </is>
      </c>
      <c r="I40" s="8" t="inlineStr">
        <is>
          <t>AC11 · Review F1 · EP (11,12,13) · BVA (min-1, max+1) · test_code_format_check_rejects_invalid_code__AC11</t>
        </is>
      </c>
    </row>
    <row r="41" ht="123.5" customHeight="1">
      <c r="A41" s="7" t="inlineStr">
        <is>
          <t>TC-LINKCODE-30</t>
        </is>
      </c>
      <c r="B41" s="7" t="inlineStr">
        <is>
          <t>User không bị kẹt khi có mã kiểu cũ sai định dạng</t>
        </is>
      </c>
      <c r="C41" s="8" t="inlineStr">
        <is>
          <t>DB theo migration mới; thử chèn mã kiểu cũ LEGACYIO01 cho user U (trước bản sửa: chèn được và API trả 500 vĩnh viễn) (chạy ở 3.10, trước BS-05: user chưa cần consent family_sharing)</t>
        </is>
      </c>
      <c r="D41" s="8" t="inlineStr">
        <is>
          <t>1. INSERT link_codes(U, 'LEGACYIO01')
2. GET /family/link-code của U hai lần</t>
        </is>
      </c>
      <c r="E41" s="8" t="inlineStr">
        <is>
          <t>LEGACYIO01</t>
        </is>
      </c>
      <c r="F41" s="8" t="inlineStr">
        <is>
          <t>INSERT bị từ chối (link_codes_code_format_check); hai lần gọi đều 200 với cùng một mã mới hợp lệ</t>
        </is>
      </c>
      <c r="G41" s="8" t="inlineStr">
        <is>
          <t>INSERT bị từ chối; 200 cả hai lần, cùng mã 6QQDTXZBHK</t>
        </is>
      </c>
      <c r="H41" s="7" t="inlineStr">
        <is>
          <t>Pass</t>
        </is>
      </c>
      <c r="I41" s="8" t="inlineStr">
        <is>
          <t>AC1 · AC2 · Review F1 · Đoán lỗi (dữ liệu cũ) · scratch/probe_legacy_code.py (trước sửa: evidence/review-probe-legacy-code.log, 500 × 2) · kết quả của task 3.10 (2026-10-13), 3.13 không chạy lại</t>
        </is>
      </c>
    </row>
    <row r="42" ht="90.5" customHeight="1">
      <c r="A42" s="7" t="inlineStr">
        <is>
          <t>TC-LINKCODE-31</t>
        </is>
      </c>
      <c r="B42" s="7" t="inlineStr">
        <is>
          <t>Từ chối lấy mã khi user chưa từng đồng ý family_sharing</t>
        </is>
      </c>
      <c r="C42" s="8" t="inlineStr">
        <is>
          <t>User thường đã đăng nhập, chỉ có consent health_data, chưa có mã</t>
        </is>
      </c>
      <c r="D42" s="8" t="inlineStr">
        <is>
          <t>1. GET /family/link-code với phiên của user
2. Đếm dòng link_codes trước và sau</t>
        </is>
      </c>
      <c r="E42" s="8" t="inlineStr">
        <is>
          <t>Authorization: Bearer &lt;phiên mobile của U&gt;</t>
        </is>
      </c>
      <c r="F42" s="8" t="inlineStr">
        <is>
          <t>403 {"detail": "family_sharing_consent_required"}; không sinh dòng link_codes nào</t>
        </is>
      </c>
      <c r="G42" s="8" t="inlineStr">
        <is>
          <t>403 {"detail": "family_sharing_consent_required"}; số dòng link_codes không đổi</t>
        </is>
      </c>
      <c r="H42" s="7" t="inlineStr">
        <is>
          <t>Pass</t>
        </is>
      </c>
      <c r="I42" s="8" t="inlineStr">
        <is>
          <t>AC32 (3.13) · BS-05 · EP (9) · Decision Table (R3) · test_without_family_sharing_403__AC32[never], test_missing_family_sharing_forbidden__AC32</t>
        </is>
      </c>
    </row>
    <row r="43" ht="107" customHeight="1">
      <c r="A43" s="7" t="inlineStr">
        <is>
          <t>TC-LINKCODE-32</t>
        </is>
      </c>
      <c r="B43" s="7" t="inlineStr">
        <is>
          <t>Từ chối lấy mã khi user đã rút family_sharing</t>
        </is>
      </c>
      <c r="C43" s="8" t="inlineStr">
        <is>
          <t>User thường đã đồng ý rồi rút consent family_sharing</t>
        </is>
      </c>
      <c r="D43" s="8" t="inlineStr">
        <is>
          <t>1. GET /family/link-code với phiên của user
2. Đếm dòng link_codes trước và sau</t>
        </is>
      </c>
      <c r="E43" s="8" t="inlineStr">
        <is>
          <t>consent family_sharing: status thu_hoi</t>
        </is>
      </c>
      <c r="F43" s="8" t="inlineStr">
        <is>
          <t>403 {"detail": "family_sharing_consent_required"}; không sinh dòng link_codes nào</t>
        </is>
      </c>
      <c r="G43" s="8" t="inlineStr">
        <is>
          <t>403 {"detail": "family_sharing_consent_required"}; số dòng link_codes không đổi</t>
        </is>
      </c>
      <c r="H43" s="7" t="inlineStr">
        <is>
          <t>Pass</t>
        </is>
      </c>
      <c r="I43" s="8" t="inlineStr">
        <is>
          <t>AC32 (3.13) · BS-05 · EP (10) · Decision Table (R3) · test_without_family_sharing_403__AC32[withdrawn], test_existing_code_hidden_without_family_sharing__AC32</t>
        </is>
      </c>
    </row>
    <row r="44" ht="123.5" customHeight="1">
      <c r="A44" s="7" t="inlineStr">
        <is>
          <t>TC-LINKCODE-33</t>
        </is>
      </c>
      <c r="B44" s="7" t="inlineStr">
        <is>
          <t>Đồng ý family_sharing qua API thì lấy được mã; rút rồi đồng ý lại vẫn là mã cũ</t>
        </is>
      </c>
      <c r="C44" s="8" t="inlineStr">
        <is>
          <t>User thường chưa có consent family_sharing</t>
        </is>
      </c>
      <c r="D44" s="8" t="inlineStr">
        <is>
          <t>1. POST /consents {"purpose": "family_sharing", "document_version": "2026-10-v1"}
2. GET /family/link-code
3. POST /consents/family_sharing/withdraw
4. GET /family/link-code
5. POST /consents như bước 1
6. GET /family/link-code</t>
        </is>
      </c>
      <c r="E44" s="8" t="inlineStr">
        <is>
          <t>document_version = "2026-10-v1"</t>
        </is>
      </c>
      <c r="F44" s="8" t="inlineStr">
        <is>
          <t>Bước 1, 5: 201; bước 2: 200 với mã C; bước 3: 200; bước 4: 403 family_sharing_consent_required; bước 6: 200 với đúng mã C; DB chỉ 1 dòng link_codes</t>
        </is>
      </c>
      <c r="G44" s="8" t="inlineStr">
        <is>
          <t>Đúng như mong đợi: mã ở bước 6 trùng bước 2, 1 dòng link_codes</t>
        </is>
      </c>
      <c r="H44" s="7" t="inlineStr">
        <is>
          <t>Pass</t>
        </is>
      </c>
      <c r="I44" s="8" t="inlineStr">
        <is>
          <t>AC32 (3.13) · QD-04 · Chuyển trạng thái (consent đồng ý → rút → đồng ý) · test_after_consent_returns_same_code__AC32</t>
        </is>
      </c>
    </row>
    <row r="45"/>
    <row r="46"/>
    <row r="47">
      <c r="G47" s="12" t="inlineStr">
        <is>
          <t>Pass</t>
        </is>
      </c>
      <c r="H47" s="13">
        <f>COUNTIF(H9:H44,"Pass")</f>
        <v/>
      </c>
    </row>
    <row r="48">
      <c r="G48" s="12" t="inlineStr">
        <is>
          <t>Fail</t>
        </is>
      </c>
      <c r="H48" s="13">
        <f>COUNTIF(H9:H44,"Fail")</f>
        <v/>
      </c>
    </row>
    <row r="49">
      <c r="G49" s="12" t="inlineStr">
        <is>
          <t>Pending</t>
        </is>
      </c>
      <c r="H49" s="13">
        <f>COUNTIF(H9:H44,"Pending")</f>
        <v/>
      </c>
    </row>
    <row r="50">
      <c r="G50" s="12" t="inlineStr">
        <is>
          <t>Total</t>
        </is>
      </c>
      <c r="H50" s="13">
        <f>SUM(H47:H49)</f>
        <v/>
      </c>
    </row>
  </sheetData>
  <autoFilter ref="A8:I44"/>
  <conditionalFormatting sqref="H9:H44">
    <cfRule type="cellIs" priority="1" operator="equal" dxfId="0">
      <formula>"Fail"</formula>
    </cfRule>
  </conditionalFormatting>
  <dataValidations count="1">
    <dataValidation sqref="H9:H44" showDropDown="0" showInputMessage="0" showErrorMessage="0" allowBlank="0" type="list">
      <formula1>"Pass,Fail,Pending"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6"/>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Tìm và chọn thuốc khi nhập thuốc (MEDPICK)</t>
        </is>
      </c>
    </row>
    <row r="3">
      <c r="A3" s="1" t="inlineStr">
        <is>
          <t>Created By</t>
        </is>
      </c>
      <c r="B3" s="2" t="inlineStr">
        <is>
          <t>phucnguyenngoc</t>
        </is>
      </c>
    </row>
    <row r="4">
      <c r="A4" s="1" t="inlineStr">
        <is>
          <t>Creation Date</t>
        </is>
      </c>
      <c r="B4" s="21" t="n">
        <v>46322</v>
      </c>
    </row>
    <row r="5">
      <c r="A5" s="1" t="inlineStr">
        <is>
          <t>Reviewed By</t>
        </is>
      </c>
      <c r="B5" s="2" t="inlineStr"/>
    </row>
    <row r="6">
      <c r="A6" s="1" t="inlineStr">
        <is>
          <t>Reviewed Date</t>
        </is>
      </c>
      <c r="B6" s="2" t="n"/>
    </row>
    <row r="7">
      <c r="K7" s="4" t="inlineStr">
        <is>
          <t>Equivalence Partitioning</t>
        </is>
      </c>
      <c r="Q7" s="4" t="inlineStr">
        <is>
          <t>Kết quả tìm kiếm hiện hành</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07" customHeight="1">
      <c r="A9" s="7" t="inlineStr">
        <is>
          <t>TC-MEDPICK-01</t>
        </is>
      </c>
      <c r="B9" s="7" t="inlineStr">
        <is>
          <t>Mở sheet chọn thuốc từ form thêm</t>
        </is>
      </c>
      <c r="C9" s="8" t="inlineStr">
        <is>
          <t>Đăng nhập Mobile; mở Danh sách thuốc → Thêm thuốc → trường Thuốc. Dữ liệu/hạ tầng theo Test Data; test tự động dùng fixture riêng.</t>
        </is>
      </c>
      <c r="D9" s="8" t="inlineStr">
        <is>
          <t>1. Chạm trường Thuốc.
2. Nhập amlo; chọn Amlodipin 5mg.
3. Sau khi chạm thuốc, kiểm tra vùng Thông tin thuốc đã chọn; bấm Xác nhận thuốc để trả về form.
4. Quan sát form và số lần gọi add.</t>
        </is>
      </c>
      <c r="E9" s="8" t="inlineStr">
        <is>
          <t>Thuốc: chưa chọn</t>
        </is>
      </c>
      <c r="F9" s="8" t="inlineStr">
        <is>
          <t>Sheet mở; thuốc trở về form, không mở tra cứu/chi tiết và chưa tự lưu. Chạm dòng chỉ chọn; chỉ Xác nhận thuốc mới đóng sheet và trả lựa chọn.</t>
        </is>
      </c>
      <c r="G9" s="8" t="inlineStr">
        <is>
          <t>Chạy lại 2026-10-27: assertion tương ứng đạt trong medication 172/172; evidence/test-medication.log. Nguồn là fake/widget, không phải API/DB thật.</t>
        </is>
      </c>
      <c r="H9" s="7" t="inlineStr">
        <is>
          <t>Pass</t>
        </is>
      </c>
      <c r="I9" s="8" t="inlineStr">
        <is>
          <t>Task 3.05: AC1, AC5 · Chuyển trạng thái form → sheet → form · 3.05: hủy/chọn lại giữ dữ liệu sử dụng, chưa tự lưu và đúng catalog id · Task 4.16: hồi quy · evidence/test-medication.log</t>
        </is>
      </c>
      <c r="K9" s="9" t="inlineStr">
        <is>
          <t>q</t>
        </is>
      </c>
      <c r="L9" s="10" t="inlineStr">
        <is>
          <t>1–100 Unicode code point sau trim</t>
        </is>
      </c>
      <c r="M9" s="10" t="inlineStr">
        <is>
          <t>1</t>
        </is>
      </c>
      <c r="N9" s="10" t="inlineStr">
        <is>
          <t>(blank) hoặc toàn khoảng trắng
Trên 100 Unicode code point</t>
        </is>
      </c>
      <c r="O9" s="10" t="inlineStr">
        <is>
          <t>3
4</t>
        </is>
      </c>
      <c r="Q9" s="10" t="inlineStr">
        <is>
          <t>Kết quả</t>
        </is>
      </c>
      <c r="R9" s="11" t="inlineStr">
        <is>
          <t>Có item</t>
        </is>
      </c>
      <c r="S9" s="11" t="inlineStr">
        <is>
          <t>Items rỗng</t>
        </is>
      </c>
      <c r="T9" s="11" t="inlineStr">
        <is>
          <t>Lỗi mạng/validation/server</t>
        </is>
      </c>
      <c r="U9" s="11" t="inlineStr">
        <is>
          <t>401</t>
        </is>
      </c>
    </row>
    <row r="10" ht="90.5" customHeight="1">
      <c r="A10" s="7" t="inlineStr">
        <is>
          <t>TC-MEDPICK-02</t>
        </is>
      </c>
      <c r="B10" s="7" t="inlineStr">
        <is>
          <t>Giữ hướng dẫn khi từ khóa rỗng</t>
        </is>
      </c>
      <c r="C10" s="8" t="inlineStr">
        <is>
          <t>Đăng nhập Mobile; mở Danh sách thuốc → Thêm thuốc → trường Thuốc. Dữ liệu/hạ tầng theo Test Data; test tự động dùng fixture riêng.</t>
        </is>
      </c>
      <c r="D10" s="8" t="inlineStr">
        <is>
          <t>1. Mở sheet; không nhập.
2. Chờ trên 300ms.</t>
        </is>
      </c>
      <c r="E10" s="8" t="inlineStr">
        <is>
          <t>(blank), độ dài 0</t>
        </is>
      </c>
      <c r="F10" s="8" t="inlineStr">
        <is>
          <t>Hiện Nhập tên thuốc hoặc hoạt chất; không gọi tìm kiếm.</t>
        </is>
      </c>
      <c r="G10" s="8" t="inlineStr">
        <is>
          <t>Chạy lại 2026-10-27: assertion tương ứng đạt trong medication 172/172; evidence/test-medication.log. Nguồn là fake/widget, không phải API/DB thật.</t>
        </is>
      </c>
      <c r="H10" s="7" t="inlineStr">
        <is>
          <t>Pass</t>
        </is>
      </c>
      <c r="I10" s="8" t="inlineStr">
        <is>
          <t>Task 3.05: AC2 · EP (3); BVA (min-1=0) · sheet danh mục: chưa gõ thì gợi ý, không tìm · Task 4.16: hồi quy · evidence/test-medication.log</t>
        </is>
      </c>
      <c r="K10" s="9" t="inlineStr">
        <is>
          <t>item</t>
        </is>
      </c>
      <c r="L10" s="10" t="inlineStr">
        <is>
          <t>Có trường nullable, giữ đúng id</t>
        </is>
      </c>
      <c r="M10" s="10" t="inlineStr">
        <is>
          <t>2</t>
        </is>
      </c>
      <c r="N10" s="10" t="inlineStr"/>
      <c r="O10" s="10" t="inlineStr"/>
      <c r="Q10" s="6" t="inlineStr">
        <is>
          <t>Action</t>
        </is>
      </c>
      <c r="R10" s="5" t="inlineStr">
        <is>
          <t>R1</t>
        </is>
      </c>
      <c r="S10" s="5" t="inlineStr">
        <is>
          <t>R2</t>
        </is>
      </c>
      <c r="T10" s="5" t="inlineStr">
        <is>
          <t>R3</t>
        </is>
      </c>
      <c r="U10" s="5" t="inlineStr">
        <is>
          <t>R4</t>
        </is>
      </c>
    </row>
    <row r="11" ht="90.5" customHeight="1">
      <c r="A11" s="7" t="inlineStr">
        <is>
          <t>TC-MEDPICK-03</t>
        </is>
      </c>
      <c r="B11" s="7" t="inlineStr">
        <is>
          <t>Bỏ qua từ khóa toàn khoảng trắng</t>
        </is>
      </c>
      <c r="C11" s="8" t="inlineStr">
        <is>
          <t>Đăng nhập Mobile; mở Danh sách thuốc → Thêm thuốc → trường Thuốc. Dữ liệu/hạ tầng theo Test Data; test tự động dùng fixture riêng.</t>
        </is>
      </c>
      <c r="D11" s="8" t="inlineStr">
        <is>
          <t>1. Nhập ba dấu cách.
2. Chờ 400ms; kiểm tra số request.</t>
        </is>
      </c>
      <c r="E11" s="8" t="inlineStr">
        <is>
          <t>q="   "</t>
        </is>
      </c>
      <c r="F11" s="8" t="inlineStr">
        <is>
          <t>Không gọi API; không giữ kết quả cũ.</t>
        </is>
      </c>
      <c r="G11" s="8" t="inlineStr">
        <is>
          <t>Chạy lại 2026-10-27: assertion tương ứng đạt trong medication 172/172; evidence/test-medication.log. Nguồn là fake/widget, không phải API/DB thật.</t>
        </is>
      </c>
      <c r="H11" s="7" t="inlineStr">
        <is>
          <t>Pass</t>
        </is>
      </c>
      <c r="I11" s="8" t="inlineStr">
        <is>
          <t>Task 3.05: AC2 · EP (3) · empty whitespace, debounce 299/300ms and trimmed final query · Task 4.16: hồi quy · evidence/test-medication.log</t>
        </is>
      </c>
      <c r="K11" s="9" t="inlineStr">
        <is>
          <t>response</t>
        </is>
      </c>
      <c r="L11" s="10" t="inlineStr"/>
      <c r="M11" s="10" t="inlineStr"/>
      <c r="N11" s="10" t="inlineStr">
        <is>
          <t>Lỗi mạng/HTTP, không được coi là thành công</t>
        </is>
      </c>
      <c r="O11" s="10" t="inlineStr">
        <is>
          <t>5</t>
        </is>
      </c>
      <c r="Q11" s="10" t="inlineStr">
        <is>
          <t>Hiện kết quả và cho chọn</t>
        </is>
      </c>
      <c r="R11" s="11" t="inlineStr">
        <is>
          <t>X</t>
        </is>
      </c>
      <c r="S11" s="11" t="inlineStr"/>
      <c r="T11" s="11" t="inlineStr"/>
      <c r="U11" s="11" t="inlineStr"/>
    </row>
    <row r="12" ht="90.5" customHeight="1">
      <c r="A12" s="7" t="inlineStr">
        <is>
          <t>TC-MEDPICK-04</t>
        </is>
      </c>
      <c r="B12" s="7" t="inlineStr">
        <is>
          <t>Trim từ khóa một ký tự và chờ debounce</t>
        </is>
      </c>
      <c r="C12" s="8" t="inlineStr">
        <is>
          <t>Đăng nhập Mobile; mở Danh sách thuốc → Thêm thuốc → trường Thuốc. Dữ liệu/hạ tầng theo Test Data; test tự động dùng fixture riêng.</t>
        </is>
      </c>
      <c r="D12" s="8" t="inlineStr">
        <is>
          <t>1. Nhập A có khoảng trắng hai đầu.
2. Chờ 299ms rồi đổi sang B có khoảng trắng.
3. Chờ 299ms rồi thêm 1ms.</t>
        </is>
      </c>
      <c r="E12" s="8" t="inlineStr">
        <is>
          <t>q=" A ", sau đó " B "; 299ms + 1ms</t>
        </is>
      </c>
      <c r="F12" s="8" t="inlineStr">
        <is>
          <t>Không gọi trước 300ms; chỉ gửi B đã trim.</t>
        </is>
      </c>
      <c r="G12" s="8" t="inlineStr">
        <is>
          <t>Chạy lại 2026-10-27: assertion tương ứng đạt trong medication 172/172; evidence/test-medication.log. Nguồn là fake/widget, không phải API/DB thật.</t>
        </is>
      </c>
      <c r="H12" s="7" t="inlineStr">
        <is>
          <t>Pass</t>
        </is>
      </c>
      <c r="I12" s="8" t="inlineStr">
        <is>
          <t>Task 3.05: AC3 · EP (1); BVA (min=1) · empty whitespace, debounce 299/300ms and trimmed final query · Task 4.16: hồi quy · evidence/test-medication.log</t>
        </is>
      </c>
      <c r="Q12" s="10" t="inlineStr">
        <is>
          <t>Hiện không tìm thấy</t>
        </is>
      </c>
      <c r="R12" s="11" t="inlineStr"/>
      <c r="S12" s="11" t="inlineStr">
        <is>
          <t>X</t>
        </is>
      </c>
      <c r="T12" s="11" t="inlineStr"/>
      <c r="U12" s="11" t="inlineStr"/>
    </row>
    <row r="13" ht="90.5" customHeight="1">
      <c r="A13" s="7" t="inlineStr">
        <is>
          <t>TC-MEDPICK-05</t>
        </is>
      </c>
      <c r="B13" s="7" t="inlineStr">
        <is>
          <t>Giữ thứ tự kết quả server</t>
        </is>
      </c>
      <c r="C13" s="8" t="inlineStr">
        <is>
          <t>Đăng nhập Mobile; mở Danh sách thuốc → Thêm thuốc → trường Thuốc. Dữ liệu/hạ tầng theo Test Data; test tự động dùng fixture riêng.</t>
        </is>
      </c>
      <c r="D13" s="8" t="inlineStr">
        <is>
          <t>1. Tìm B.
2. Server trả second trước first.
3. Quan sát thứ tự trên sheet.</t>
        </is>
      </c>
      <c r="E13" s="8" t="inlineStr">
        <is>
          <t>items: second, first</t>
        </is>
      </c>
      <c r="F13" s="8" t="inlineStr">
        <is>
          <t>second nằm trước first; client không tự sắp xếp.</t>
        </is>
      </c>
      <c r="G13" s="8" t="inlineStr">
        <is>
          <t>Chạy lại 2026-10-27: assertion tương ứng đạt trong medication 172/172; evidence/test-medication.log. Nguồn là fake/widget, không phải API/DB thật.</t>
        </is>
      </c>
      <c r="H13" s="7" t="inlineStr">
        <is>
          <t>Pass</t>
        </is>
      </c>
      <c r="I13" s="8" t="inlineStr">
        <is>
          <t>Task 3.05: AC3 · EP (1) · empty whitespace, debounce 299/300ms and trimmed final query · Task 4.16: hồi quy · evidence/test-medication.log</t>
        </is>
      </c>
      <c r="Q13" s="10" t="inlineStr">
        <is>
          <t>Hiện lỗi, cho retry</t>
        </is>
      </c>
      <c r="R13" s="11" t="inlineStr"/>
      <c r="S13" s="11" t="inlineStr"/>
      <c r="T13" s="11" t="inlineStr">
        <is>
          <t>X</t>
        </is>
      </c>
      <c r="U13" s="11" t="inlineStr"/>
    </row>
    <row r="14" ht="107" customHeight="1">
      <c r="A14" s="7" t="inlineStr">
        <is>
          <t>TC-MEDPICK-06</t>
        </is>
      </c>
      <c r="B14" s="7" t="inlineStr">
        <is>
          <t>Xóa từ khóa và bỏ response còn chờ</t>
        </is>
      </c>
      <c r="C14" s="8" t="inlineStr">
        <is>
          <t>Đăng nhập Mobile; mở Danh sách thuốc → Thêm thuốc → trường Thuốc. Dữ liệu/hạ tầng theo Test Data; test tự động dùng fixture riêng.</t>
        </is>
      </c>
      <c r="D14" s="8" t="inlineStr">
        <is>
          <t>1. Tìm A.
2. Xóa từ khóa trước khi response về.
3. Cho response A về.</t>
        </is>
      </c>
      <c r="E14" s="8" t="inlineStr">
        <is>
          <t>q=A → (blank); response A về sau</t>
        </is>
      </c>
      <c r="F14" s="8" t="inlineStr">
        <is>
          <t>Kết quả A không xuất hiện; trở về hướng dẫn.</t>
        </is>
      </c>
      <c r="G14" s="8" t="inlineStr">
        <is>
          <t>Chạy lại 2026-10-27: assertion tương ứng đạt trong medication 172/172; evidence/test-medication.log. Nguồn là fake/widget, không phải API/DB thật.</t>
        </is>
      </c>
      <c r="H14" s="7" t="inlineStr">
        <is>
          <t>Pass</t>
        </is>
      </c>
      <c r="I14" s="8" t="inlineStr">
        <is>
          <t>Task 3.05: AC2, AC9 · Chuyển trạng thái loading → initial · clear invalidates request and dispose cancels timer or ignores response · Task 4.16: hồi quy · evidence/test-medication.log</t>
        </is>
      </c>
      <c r="Q14" s="10" t="inlineStr">
        <is>
          <t>Xử lý phiên chung, không retry tìm</t>
        </is>
      </c>
      <c r="R14" s="11" t="inlineStr"/>
      <c r="S14" s="11" t="inlineStr"/>
      <c r="T14" s="11" t="inlineStr"/>
      <c r="U14" s="11" t="inlineStr">
        <is>
          <t>X</t>
        </is>
      </c>
    </row>
    <row r="15" ht="107" customHeight="1">
      <c r="A15" s="7" t="inlineStr">
        <is>
          <t>TC-MEDPICK-07</t>
        </is>
      </c>
      <c r="B15" s="7" t="inlineStr">
        <is>
          <t>Chỉ nhận response mới nhất trong A → B → A</t>
        </is>
      </c>
      <c r="C15" s="8" t="inlineStr">
        <is>
          <t>Đăng nhập Mobile; mở Danh sách thuốc → Thêm thuốc → trường Thuốc. Dữ liệu/hạ tầng theo Test Data; test tự động dùng fixture riêng.</t>
        </is>
      </c>
      <c r="D15" s="8" t="inlineStr">
        <is>
          <t>1. Tìm A, B, A theo thứ tự.
2. Trả latest cho A2 rồi stale cho A1 và lỗi mạng cho B.
3. Quan sát kết quả và lỗi.</t>
        </is>
      </c>
      <c r="E15" s="8" t="inlineStr">
        <is>
          <t>Request A1, B, A2; response A2, A1, lỗi B</t>
        </is>
      </c>
      <c r="F15" s="8" t="inlineStr">
        <is>
          <t>Chỉ latest hiển thị, không xuất hiện stale hoặc Chưa tìm được.</t>
        </is>
      </c>
      <c r="G15" s="8" t="inlineStr">
        <is>
          <t>Chạy lại 2026-10-27: assertion tương ứng đạt trong medication 172/172; evidence/test-medication.log. Nguồn là fake/widget, không phải API/DB thật.</t>
        </is>
      </c>
      <c r="H15" s="7" t="inlineStr">
        <is>
          <t>Pass</t>
        </is>
      </c>
      <c r="I15" s="8" t="inlineStr">
        <is>
          <t>Task 3.05: AC9 · Đoán lỗi response sai thứ tự · A B A: only current generation can update, including stale error · Task 4.16: hồi quy · evidence/test-medication.log</t>
        </is>
      </c>
    </row>
    <row r="16" ht="107" customHeight="1">
      <c r="A16" s="7" t="inlineStr">
        <is>
          <t>TC-MEDPICK-08</t>
        </is>
      </c>
      <c r="B16" s="7" t="inlineStr">
        <is>
          <t>Đóng sheet khi còn timer và request</t>
        </is>
      </c>
      <c r="C16" s="8" t="inlineStr">
        <is>
          <t>Đăng nhập Mobile; mở Danh sách thuốc → Thêm thuốc → trường Thuốc. Dữ liệu/hạ tầng theo Test Data; test tự động dùng fixture riêng.</t>
        </is>
      </c>
      <c r="D16" s="8" t="inlineStr">
        <is>
          <t>1. Tìm A rồi xóa.
2. Tìm B rồi nhập C chưa đủ debounce.
3. Đóng sheet; trả lỗi B.</t>
        </is>
      </c>
      <c r="E16" s="8" t="inlineStr">
        <is>
          <t>A đang chờ; B gửi; C đang debounce</t>
        </is>
      </c>
      <c r="F16" s="8" t="inlineStr">
        <is>
          <t>Timer C không gửi; không exception cập nhật widget đã dispose.</t>
        </is>
      </c>
      <c r="G16" s="8" t="inlineStr">
        <is>
          <t>Chạy lại 2026-10-27: assertion tương ứng đạt trong medication 172/172; evidence/test-medication.log. Nguồn là fake/widget, không phải API/DB thật.</t>
        </is>
      </c>
      <c r="H16" s="7" t="inlineStr">
        <is>
          <t>Pass</t>
        </is>
      </c>
      <c r="I16" s="8" t="inlineStr">
        <is>
          <t>Task 3.05: AC9 · Chuyển trạng thái sheet → disposed · clear invalidates request and dispose cancels timer or ignores response · Task 4.16: hồi quy · evidence/test-medication.log</t>
        </is>
      </c>
    </row>
    <row r="17" ht="90.5" customHeight="1">
      <c r="A17" s="7" t="inlineStr">
        <is>
          <t>TC-MEDPICK-09</t>
        </is>
      </c>
      <c r="B17" s="7" t="inlineStr">
        <is>
          <t>Chấp nhận 99 ký tự sau trim</t>
        </is>
      </c>
      <c r="C17" s="8" t="inlineStr">
        <is>
          <t>Đăng nhập Mobile; mở Danh sách thuốc → Thêm thuốc → trường Thuốc. Dữ liệu/hạ tầng theo Test Data; test tự động dùng fixture riêng.</t>
        </is>
      </c>
      <c r="D17" s="8" t="inlineStr">
        <is>
          <t>1. Nhập chuỗi a dài 99 ký tự.
2. Chờ 300ms; kiểm tra request.</t>
        </is>
      </c>
      <c r="E17" s="8" t="inlineStr">
        <is>
          <t>q=a*99</t>
        </is>
      </c>
      <c r="F17" s="8" t="inlineStr">
        <is>
          <t>Gửi q 99 ký tự; không báo quá dài.</t>
        </is>
      </c>
      <c r="G17" s="8" t="inlineStr">
        <is>
          <t>Chạy lại 2026-10-27: assertion tương ứng đạt trong medication 172/172; evidence/test-medication.log. Nguồn là fake/widget, không phải API/DB thật.</t>
        </is>
      </c>
      <c r="H17" s="7" t="inlineStr">
        <is>
          <t>Pass</t>
        </is>
      </c>
      <c r="I17" s="8" t="inlineStr">
        <is>
          <t>Task 3.05: AC10 · EP (1) · BVA (max-1=99) · scratch/catalog_boundary_test.dart; Flutter drive Android · Task 4.16: hồi quy · evidence/test-medication.log</t>
        </is>
      </c>
      <c r="Q17" s="4" t="inlineStr">
        <is>
          <t>Cho phép xác nhận (4.16)</t>
        </is>
      </c>
    </row>
    <row r="18" ht="90.5" customHeight="1">
      <c r="A18" s="7" t="inlineStr">
        <is>
          <t>TC-MEDPICK-10</t>
        </is>
      </c>
      <c r="B18" s="7" t="inlineStr">
        <is>
          <t>Chấp nhận 100 ký tự tiếng Việt sau trim</t>
        </is>
      </c>
      <c r="C18" s="8" t="inlineStr">
        <is>
          <t>Đăng nhập Mobile; mở Danh sách thuốc → Thêm thuốc → trường Thuốc. Dữ liệu/hạ tầng theo Test Data; test tự động dùng fixture riêng.</t>
        </is>
      </c>
      <c r="D18" s="8" t="inlineStr">
        <is>
          <t>1. Nhập 100 ký tự á có khoảng trắng hai đầu.
2. Chờ 300ms; kiểm tra request.</t>
        </is>
      </c>
      <c r="E18" s="8" t="inlineStr">
        <is>
          <t>q=" "+á*100+" "</t>
        </is>
      </c>
      <c r="F18" s="8" t="inlineStr">
        <is>
          <t>Gửi đúng 100 ký tự á sau trim.</t>
        </is>
      </c>
      <c r="G18" s="8" t="inlineStr">
        <is>
          <t>Chạy lại 2026-10-27: assertion tương ứng đạt trong medication 172/172; evidence/test-medication.log. Nguồn là fake/widget, không phải API/DB thật.</t>
        </is>
      </c>
      <c r="H18" s="7" t="inlineStr">
        <is>
          <t>Pass</t>
        </is>
      </c>
      <c r="I18" s="8" t="inlineStr">
        <is>
          <t>Task 3.05: AC10 · EP (1); BVA (max=100) · trimmed Unicode limit 100 allowed, 101 blocked: á · Task 4.16: hồi quy · evidence/test-medication.log</t>
        </is>
      </c>
      <c r="Q18" s="6" t="inlineStr">
        <is>
          <t>Rule</t>
        </is>
      </c>
      <c r="R18" s="5" t="inlineStr">
        <is>
          <t>R1</t>
        </is>
      </c>
      <c r="S18" s="5" t="inlineStr">
        <is>
          <t>R2</t>
        </is>
      </c>
      <c r="T18" s="5" t="inlineStr">
        <is>
          <t>R3</t>
        </is>
      </c>
      <c r="U18" s="5" t="inlineStr">
        <is>
          <t>R4</t>
        </is>
      </c>
    </row>
    <row r="19" ht="90.5" customHeight="1">
      <c r="A19" s="7" t="inlineStr">
        <is>
          <t>TC-MEDPICK-11</t>
        </is>
      </c>
      <c r="B19" s="7" t="inlineStr">
        <is>
          <t>Chặn 101 ký tự tiếng Việt và khôi phục query hợp lệ</t>
        </is>
      </c>
      <c r="C19" s="8" t="inlineStr">
        <is>
          <t>Đăng nhập Mobile; mở Danh sách thuốc → Thêm thuốc → trường Thuốc. Dữ liệu/hạ tầng theo Test Data; test tự động dùng fixture riêng.</t>
        </is>
      </c>
      <c r="D19" s="8" t="inlineStr">
        <is>
          <t>1. Gửi query 100 ký tự rồi nhập 101 ký tự.
2. Trả response cũ.
3. Đổi sang valid và trả items rỗng.</t>
        </is>
      </c>
      <c r="E19" s="8" t="inlineStr">
        <is>
          <t>á*100 → á*101 → valid</t>
        </is>
      </c>
      <c r="F19" s="8" t="inlineStr">
        <is>
          <t>Không gửi query 101; bỏ response cũ; hiện Nhập tối đa 100 ký tự sau khi bỏ khoảng trắng đầu và cuối.; query valid tìm lại được.</t>
        </is>
      </c>
      <c r="G19" s="8" t="inlineStr">
        <is>
          <t>Chạy lại 2026-10-27: assertion tương ứng đạt trong medication 172/172; evidence/test-medication.log. Nguồn là fake/widget, không phải API/DB thật.</t>
        </is>
      </c>
      <c r="H19" s="7" t="inlineStr">
        <is>
          <t>Pass</t>
        </is>
      </c>
      <c r="I19" s="8" t="inlineStr">
        <is>
          <t>Task 3.05: AC9, AC10 · EP (4); BVA (max+1=101) · trimmed Unicode limit 100 allowed, 101 blocked: á · Task 4.16: hồi quy · evidence/test-medication.log</t>
        </is>
      </c>
      <c r="Q19" s="10" t="inlineStr">
        <is>
          <t>Có ứng viên?</t>
        </is>
      </c>
      <c r="R19" s="11" t="inlineStr">
        <is>
          <t>No</t>
        </is>
      </c>
      <c r="S19" s="11" t="inlineStr">
        <is>
          <t>Yes</t>
        </is>
      </c>
      <c r="T19" s="11" t="inlineStr">
        <is>
          <t>Yes</t>
        </is>
      </c>
      <c r="U19" s="11" t="inlineStr">
        <is>
          <t>Yes</t>
        </is>
      </c>
    </row>
    <row r="20" ht="90.5" customHeight="1">
      <c r="A20" s="7" t="inlineStr">
        <is>
          <t>TC-MEDPICK-12</t>
        </is>
      </c>
      <c r="B20" s="7" t="inlineStr">
        <is>
          <t>Đếm Unicode ngoài BMP theo code point</t>
        </is>
      </c>
      <c r="C20" s="8" t="inlineStr">
        <is>
          <t>Đăng nhập Mobile; mở Danh sách thuốc → Thêm thuốc → trường Thuốc. Dữ liệu/hạ tầng theo Test Data; test tự động dùng fixture riêng.</t>
        </is>
      </c>
      <c r="D20" s="8" t="inlineStr">
        <is>
          <t>1. Nhập 100 emoji rồi 101 emoji.
2. Quan sát số lần gọi tìm kiếm và thông báo.</t>
        </is>
      </c>
      <c r="E20" s="8" t="inlineStr">
        <is>
          <t>😀*100, 😀*101</t>
        </is>
      </c>
      <c r="F20" s="8" t="inlineStr">
        <is>
          <t>100 code point được gửi, 101 bị chặn, không đếm thành 200 UTF-16 unit.</t>
        </is>
      </c>
      <c r="G20" s="8" t="inlineStr">
        <is>
          <t>Chạy lại 2026-10-27: assertion tương ứng đạt trong medication 172/172; evidence/test-medication.log. Nguồn là fake/widget, không phải API/DB thật.</t>
        </is>
      </c>
      <c r="H20" s="7" t="inlineStr">
        <is>
          <t>Pass</t>
        </is>
      </c>
      <c r="I20" s="8" t="inlineStr">
        <is>
          <t>Task 3.05: AC10 · EP (1,4); BVA (max=100,max+1=101) · trimmed Unicode limit 100 allowed, 101 blocked: 😀 · Task 4.16: hồi quy · evidence/test-medication.log</t>
        </is>
      </c>
      <c r="Q20" s="10" t="inlineStr">
        <is>
          <t>Đã chọn mục thuộc danh sách hiện tại?</t>
        </is>
      </c>
      <c r="R20" s="11" t="inlineStr">
        <is>
          <t>No</t>
        </is>
      </c>
      <c r="S20" s="11" t="inlineStr">
        <is>
          <t>No</t>
        </is>
      </c>
      <c r="T20" s="11" t="inlineStr">
        <is>
          <t>Yes</t>
        </is>
      </c>
      <c r="U20" s="11" t="inlineStr">
        <is>
          <t>No sau thay dữ liệu</t>
        </is>
      </c>
    </row>
    <row r="21" ht="90.5" customHeight="1">
      <c r="A21" s="7" t="inlineStr">
        <is>
          <t>TC-MEDPICK-13</t>
        </is>
      </c>
      <c r="B21" s="7" t="inlineStr">
        <is>
          <t>Hiện không tìm thấy khi API trả items rỗng</t>
        </is>
      </c>
      <c r="C21" s="8" t="inlineStr">
        <is>
          <t>Đăng nhập Mobile; mở Danh sách thuốc → Thêm thuốc → trường Thuốc. Dữ liệu/hạ tầng theo Test Data; test tự động dùng fixture riêng.</t>
        </is>
      </c>
      <c r="D21" s="8" t="inlineStr">
        <is>
          <t>1. Tìm valid.
2. Server trả danh sách rỗng.
3. Quan sát sheet.</t>
        </is>
      </c>
      <c r="E21" s="8" t="inlineStr">
        <is>
          <t>q=valid; items=[]</t>
        </is>
      </c>
      <c r="F21" s="8" t="inlineStr">
        <is>
          <t>Hiện Không tìm thấy thuốc phù hợp và gợi ý đổi từ khóa; không tự tạo thuốc.</t>
        </is>
      </c>
      <c r="G21" s="8" t="inlineStr">
        <is>
          <t>Chạy lại 2026-10-27: assertion tương ứng đạt trong medication 172/172; evidence/test-medication.log. Nguồn là fake/widget, không phải API/DB thật.</t>
        </is>
      </c>
      <c r="H21" s="7" t="inlineStr">
        <is>
          <t>Pass</t>
        </is>
      </c>
      <c r="I21" s="8" t="inlineStr">
        <is>
          <t>Task 3.05: AC7 · Decision Table (R2) · network retry uses current query once and clears old error · Task 4.16: hồi quy · evidence/test-medication.log</t>
        </is>
      </c>
      <c r="Q21" s="6" t="inlineStr">
        <is>
          <t>Action</t>
        </is>
      </c>
      <c r="R21" s="5" t="inlineStr">
        <is>
          <t>R1</t>
        </is>
      </c>
      <c r="S21" s="5" t="inlineStr">
        <is>
          <t>R2</t>
        </is>
      </c>
      <c r="T21" s="5" t="inlineStr">
        <is>
          <t>R3</t>
        </is>
      </c>
      <c r="U21" s="5" t="inlineStr">
        <is>
          <t>R4</t>
        </is>
      </c>
    </row>
    <row r="22" ht="107" customHeight="1">
      <c r="A22" s="7" t="inlineStr">
        <is>
          <t>TC-MEDPICK-14</t>
        </is>
      </c>
      <c r="B22" s="7" t="inlineStr">
        <is>
          <t>Thử lại lỗi mạng đúng query hiện tại</t>
        </is>
      </c>
      <c r="C22" s="8" t="inlineStr">
        <is>
          <t>Đăng nhập Mobile; mở Danh sách thuốc → Thêm thuốc → trường Thuốc. Dữ liệu/hạ tầng theo Test Data; test tự động dùng fixture riêng.</t>
        </is>
      </c>
      <c r="D22" s="8" t="inlineStr">
        <is>
          <t>1. Nhập A; mô phỏng mất mạng.
2. Bấm Thử lại liên tục hai lần.
3. Cho lần retry trả latest.</t>
        </is>
      </c>
      <c r="E22" s="8" t="inlineStr">
        <is>
          <t>q=" A "; lần đầu lỗi mạng, lần sau latest</t>
        </is>
      </c>
      <c r="F22" s="8" t="inlineStr">
        <is>
          <t>Hiện Chưa tìm được; chỉ một retry với A đã trim; lỗi được xóa khi tải.</t>
        </is>
      </c>
      <c r="G22" s="8" t="inlineStr">
        <is>
          <t>Chạy lại 2026-10-27: assertion tương ứng đạt trong medication 172/172; evidence/test-medication.log. Nguồn là fake/widget, không phải API/DB thật.</t>
        </is>
      </c>
      <c r="H22" s="7" t="inlineStr">
        <is>
          <t>Pass</t>
        </is>
      </c>
      <c r="I22" s="8" t="inlineStr">
        <is>
          <t>Task 3.05: AC8 · EP (5); Decision Table (R3) · network retry uses current query once and clears old error · Task 4.16: hồi quy · evidence/test-medication.log</t>
        </is>
      </c>
      <c r="Q22" s="10" t="inlineStr">
        <is>
          <t>Chỉ cho tìm lại/hủy</t>
        </is>
      </c>
      <c r="R22" s="11" t="inlineStr">
        <is>
          <t>X</t>
        </is>
      </c>
      <c r="S22" s="11" t="inlineStr"/>
      <c r="T22" s="11" t="inlineStr"/>
      <c r="U22" s="11" t="inlineStr"/>
    </row>
    <row r="23" ht="107" customHeight="1">
      <c r="A23" s="7" t="inlineStr">
        <is>
          <t>TC-MEDPICK-15</t>
        </is>
      </c>
      <c r="B23" s="7" t="inlineStr">
        <is>
          <t>Phân biệt lỗi HTTP 422 với kết quả rỗng</t>
        </is>
      </c>
      <c r="C23" s="8" t="inlineStr">
        <is>
          <t>Đăng nhập Mobile; mở Danh sách thuốc → Thêm thuốc → trường Thuốc. Dữ liệu/hạ tầng theo Test Data; test tự động dùng fixture riêng.</t>
        </is>
      </c>
      <c r="D23" s="8" t="inlineStr">
        <is>
          <t>1. Nhập A.
2. Trả lỗi validation 422.
3. Quan sát lỗi và khả năng retry.</t>
        </is>
      </c>
      <c r="E23" s="8" t="inlineStr">
        <is>
          <t>GET /catalog/medications; HTTP 422</t>
        </is>
      </c>
      <c r="F23" s="8" t="inlineStr">
        <is>
          <t>Hiện Chưa tìm được; không hiển thị như tìm thành công không có kết quả.</t>
        </is>
      </c>
      <c r="G23" s="8" t="inlineStr">
        <is>
          <t>Chạy lại 2026-10-27: assertion tương ứng đạt trong medication 172/172; evidence/test-medication.log. Nguồn là fake/widget, không phải API/DB thật.</t>
        </is>
      </c>
      <c r="H23" s="7" t="inlineStr">
        <is>
          <t>Pass</t>
        </is>
      </c>
      <c r="I23" s="8" t="inlineStr">
        <is>
          <t>Task 3.05: AC10 · EP (5); Decision Table (R3) · failure MedicationFailureKind.validation is not empty success · Task 4.16: hồi quy · evidence/test-medication.log</t>
        </is>
      </c>
      <c r="Q23" s="10" t="inlineStr">
        <is>
          <t>Không cho xác nhận</t>
        </is>
      </c>
      <c r="R23" s="11" t="inlineStr"/>
      <c r="S23" s="11" t="inlineStr">
        <is>
          <t>X</t>
        </is>
      </c>
      <c r="T23" s="11" t="inlineStr"/>
      <c r="U23" s="11" t="inlineStr">
        <is>
          <t>X</t>
        </is>
      </c>
    </row>
    <row r="24" ht="140" customHeight="1">
      <c r="A24" s="7" t="inlineStr">
        <is>
          <t>TC-MEDPICK-16</t>
        </is>
      </c>
      <c r="B24" s="7" t="inlineStr">
        <is>
          <t>Xử lý 401 theo cơ chế phiên chung</t>
        </is>
      </c>
      <c r="C24" s="8" t="inlineStr">
        <is>
          <t>Đăng nhập Mobile; mở Danh sách thuốc → Thêm thuốc → trường Thuốc. Dữ liệu/hạ tầng theo Test Data; test tự động dùng fixture riêng.</t>
        </is>
      </c>
      <c r="D24" s="8" t="inlineStr">
        <is>
          <t>1. Tìm A với phiên không hợp lệ.
2. Trả 401; kiểm callback phiên và lỗi repository.
3. Quan sát sheet.</t>
        </is>
      </c>
      <c r="E24" s="8" t="inlineStr">
        <is>
          <t>HTTP 401; refresh thất bại</t>
        </is>
      </c>
      <c r="F24" s="8" t="inlineStr">
        <is>
          <t>Callback onUnauthorized được gọi; ném unauthorized; sheet không báo kết quả rỗng hoặc cho retry tìm kiếm.</t>
        </is>
      </c>
      <c r="G24" s="8" t="inlineStr">
        <is>
          <t>Chạy lại 2026-10-27: assertion tương ứng đạt trong medication 172/172; evidence/test-medication.log. Nguồn là fake/widget, không phải API/DB thật.</t>
        </is>
      </c>
      <c r="H24" s="7" t="inlineStr">
        <is>
          <t>Pass</t>
        </is>
      </c>
      <c r="I24" s="8" t="inlineStr">
        <is>
          <t>Task 3.05: AC11 · EP (5); Decision Table (R4) · 3.05 search 401 throws failure rather than empty success; failure MedicationFailureKind.unauthorized is not empty success · Task 4.16: hồi quy · evidence/test-medication.log</t>
        </is>
      </c>
      <c r="Q24" s="10" t="inlineStr">
        <is>
          <t>Cho xác nhận đúng một lần</t>
        </is>
      </c>
      <c r="R24" s="11" t="inlineStr"/>
      <c r="S24" s="11" t="inlineStr"/>
      <c r="T24" s="11" t="inlineStr">
        <is>
          <t>X</t>
        </is>
      </c>
      <c r="U24" s="11" t="inlineStr"/>
    </row>
    <row r="25" ht="107" customHeight="1">
      <c r="A25" s="7" t="inlineStr">
        <is>
          <t>TC-MEDPICK-17</t>
        </is>
      </c>
      <c r="B25" s="7" t="inlineStr">
        <is>
          <t>Giữ lỗi timeout và lỗi server</t>
        </is>
      </c>
      <c r="C25" s="8" t="inlineStr">
        <is>
          <t>Đăng nhập Mobile; mở Danh sách thuốc → Thêm thuốc → trường Thuốc. Dữ liệu/hạ tầng theo Test Data; test tự động dùng fixture riêng.</t>
        </is>
      </c>
      <c r="D25" s="8" t="inlineStr">
        <is>
          <t>1. Gọi searchCatalog với mỗi status đã nêu.
2. Quan sát kết quả repository.</t>
        </is>
      </c>
      <c r="E25" s="8" t="inlineStr">
        <is>
          <t>HTTP 408, 500, 503</t>
        </is>
      </c>
      <c r="F25" s="8" t="inlineStr">
        <is>
          <t>Ném failure tương ứng; không chuyển thành danh sách rỗng thành công.</t>
        </is>
      </c>
      <c r="G25" s="8" t="inlineStr">
        <is>
          <t>Chạy lại 2026-10-27: assertion tương ứng đạt trong medication 172/172; evidence/test-medication.log. Nguồn là fake/widget, không phải API/DB thật.</t>
        </is>
      </c>
      <c r="H25" s="7" t="inlineStr">
        <is>
          <t>Pass</t>
        </is>
      </c>
      <c r="I25" s="8" t="inlineStr">
        <is>
          <t>Task 3.05: AC8 · EP (5); Decision Table (R3) · 3.05 search 408/500/503 throws failure rather than empty success · Task 4.16: hồi quy · evidence/test-medication.log</t>
        </is>
      </c>
    </row>
    <row r="26" ht="90.5" customHeight="1">
      <c r="A26" s="7" t="inlineStr">
        <is>
          <t>TC-MEDPICK-18</t>
        </is>
      </c>
      <c r="B26" s="7" t="inlineStr">
        <is>
          <t>Giữ lỗi socket khi mất kết nối</t>
        </is>
      </c>
      <c r="C26" s="8" t="inlineStr">
        <is>
          <t>Đăng nhập Mobile; mở Danh sách thuốc → Thêm thuốc → trường Thuốc. Dữ liệu/hạ tầng theo Test Data; test tự động dùng fixture riêng.</t>
        </is>
      </c>
      <c r="D26" s="8" t="inlineStr">
        <is>
          <t>1. Gọi searchCatalog khi server không nhận kết nối.
2. Kiểm tra lỗi trả về.</t>
        </is>
      </c>
      <c r="E26" s="8" t="inlineStr">
        <is>
          <t>Ngắt kết nối server cục bộ</t>
        </is>
      </c>
      <c r="F26" s="8" t="inlineStr">
        <is>
          <t>Ném lỗi network thay vì trả items rỗng.</t>
        </is>
      </c>
      <c r="G26" s="8" t="inlineStr">
        <is>
          <t>Chạy lại 2026-10-27: assertion tương ứng đạt trong medication 172/172; evidence/test-medication.log. Nguồn là fake/widget, không phải API/DB thật.</t>
        </is>
      </c>
      <c r="H26" s="7" t="inlineStr">
        <is>
          <t>Pass</t>
        </is>
      </c>
      <c r="I26" s="8" t="inlineStr">
        <is>
          <t>Task 3.05: AC8 · EP (5) · 3.05 search socket failure is network error · Task 4.16: hồi quy · evidence/test-medication.log</t>
        </is>
      </c>
    </row>
    <row r="27" ht="107" customHeight="1">
      <c r="A27" s="7" t="inlineStr">
        <is>
          <t>TC-MEDPICK-19</t>
        </is>
      </c>
      <c r="B27" s="7" t="inlineStr">
        <is>
          <t>Hiện thông tin nhận diện và không suy diễn trường thiếu</t>
        </is>
      </c>
      <c r="C27" s="8" t="inlineStr">
        <is>
          <t>Đăng nhập Mobile; mở Danh sách thuốc → Thêm thuốc → trường Thuốc. Dữ liệu/hạ tầng theo Test Data; test tự động dùng fixture riêng.</t>
        </is>
      </c>
      <c r="D27" s="8" t="inlineStr">
        <is>
          <t>1. Tìm A và trả hai item.
2. Quan sát tên, 5 mg và các trường thiếu.</t>
        </is>
      </c>
      <c r="E27" s="8" t="inlineStr">
        <is>
          <t>Hai thuốc Cùng tên: id=1 đủ thông tin, id=2 thiếu hoạt chất/hàm lượng/dạng</t>
        </is>
      </c>
      <c r="F27" s="8" t="inlineStr">
        <is>
          <t>Hiện hai dòng cùng tên; 5 mg chỉ ở item đủ thông tin; không hiện null; có Chưa có thông tin hoạt chất.</t>
        </is>
      </c>
      <c r="G27" s="8" t="inlineStr">
        <is>
          <t>Chạy lại 2026-10-27: assertion tương ứng đạt trong medication 172/172; evidence/test-medication.log. Nguồn là fake/widget, không phải API/DB thật.</t>
        </is>
      </c>
      <c r="H27" s="7" t="inlineStr">
        <is>
          <t>Pass</t>
        </is>
      </c>
      <c r="I27" s="8" t="inlineStr">
        <is>
          <t>Task 3.05: AC5, AC6 · EP (2); Decision Table (R1) · strength, missing fields and same name distinct ids keep original item · Task 4.16: hồi quy · evidence/test-medication.log</t>
        </is>
      </c>
    </row>
    <row r="28" ht="107" customHeight="1">
      <c r="A28" s="7" t="inlineStr">
        <is>
          <t>TC-MEDPICK-20</t>
        </is>
      </c>
      <c r="B28" s="7" t="inlineStr">
        <is>
          <t>Chọn đúng item khi hai thuốc cùng tên</t>
        </is>
      </c>
      <c r="C28" s="8" t="inlineStr">
        <is>
          <t>Đăng nhập Mobile; mở Danh sách thuốc → Thêm thuốc → trường Thuốc. Dữ liệu/hạ tầng theo Test Data; test tự động dùng fixture riêng.</t>
        </is>
      </c>
      <c r="D28" s="8" t="inlineStr">
        <is>
          <t>1. Tìm Cùng.
2. Chọn dòng thứ hai.
3. Sau khi chạm thuốc, kiểm tra vùng Thông tin thuốc đã chọn; bấm Xác nhận thuốc để trả về form.
4. Quan sát form trước Lưu.</t>
        </is>
      </c>
      <c r="E28" s="8" t="inlineStr">
        <is>
          <t>Cùng tên: id=1, id=200; chọn item thứ hai nullable</t>
        </is>
      </c>
      <c r="F28" s="8" t="inlineStr">
        <is>
          <t>Form nhận nguyên item id=200; hàm lượng trống, không tự điền y khoa, không tự lưu. Chạm dòng chỉ chọn; chỉ Xác nhận thuốc mới đóng sheet và trả lựa chọn.</t>
        </is>
      </c>
      <c r="G28" s="8" t="inlineStr">
        <is>
          <t>Chạy lại 2026-10-27: assertion tương ứng đạt trong medication 172/172; evidence/test-medication.log. Nguồn là fake/widget, không phải API/DB thật.</t>
        </is>
      </c>
      <c r="H28" s="7" t="inlineStr">
        <is>
          <t>Pass</t>
        </is>
      </c>
      <c r="I28" s="8" t="inlineStr">
        <is>
          <t>Task 3.05: AC5, AC6 · EP (2) · 3.05: chọn đúng item cùng tên, thiếu thông tin giữ trường trống không tự lưu · Task 4.16: hồi quy · evidence/test-medication.log</t>
        </is>
      </c>
    </row>
    <row r="29" ht="140" customHeight="1">
      <c r="A29" s="7" t="inlineStr">
        <is>
          <t>TC-MEDPICK-21</t>
        </is>
      </c>
      <c r="B29" s="7" t="inlineStr">
        <is>
          <t>Giữ thông tin sử dụng khi hủy rồi chọn lại</t>
        </is>
      </c>
      <c r="C29" s="8" t="inlineStr">
        <is>
          <t>Đăng nhập Mobile; mở Danh sách thuốc → Thêm thuốc → trường Thuốc. Dữ liệu/hạ tầng theo Test Data; test tự động dùng fixture riêng.</t>
        </is>
      </c>
      <c r="D29" s="8" t="inlineStr">
        <is>
          <t>1. Chọn Amlodipin; tăng liều thành 2 và chọn 3 lần/ngày.
2. Mở sheet rồi hủy; mở lại và chọn Losartan.
3. Sau khi chạm thuốc, kiểm tra vùng Thông tin thuốc đã chọn; bấm Xác nhận thuốc để trả về form.
4. Kiểm dữ liệu còn giữ, sau đó Lưu để kiểm payload.</t>
        </is>
      </c>
      <c r="E29" s="8" t="inlineStr">
        <is>
          <t>Amlodipin 5mg → Losartan 50mg; liều 2; 3 lần/ngày</t>
        </is>
      </c>
      <c r="F29" s="8" t="inlineStr">
        <is>
          <t>Hủy giữ thuốc cũ; chọn lại đổi catalog id; giữ liều/tần suất/giờ mặc định đã chọn; chưa add trước Lưu. Chạm dòng chỉ chọn; chỉ Xác nhận thuốc mới đóng sheet và trả lựa chọn.</t>
        </is>
      </c>
      <c r="G29" s="8" t="inlineStr">
        <is>
          <t>Chạy lại 2026-10-27: assertion tương ứng đạt trong medication 172/172; evidence/test-medication.log. Nguồn là fake/widget, không phải API/DB thật.</t>
        </is>
      </c>
      <c r="H29" s="7" t="inlineStr">
        <is>
          <t>Pass</t>
        </is>
      </c>
      <c r="I29" s="8" t="inlineStr">
        <is>
          <t>Task 3.05: AC12, AC5 · Chuyển trạng thái chọn → hủy → chọn lại · 3.05: hủy/chọn lại giữ dữ liệu sử dụng, chưa tự lưu và đúng catalog id · Task 4.16: hồi quy · evidence/test-medication.log</t>
        </is>
      </c>
    </row>
    <row r="30" ht="107" customHeight="1">
      <c r="A30" s="7" t="inlineStr">
        <is>
          <t>TC-MEDPICK-22</t>
        </is>
      </c>
      <c r="B30" s="7" t="inlineStr">
        <is>
          <t>Cho phép chọn thuốc đang dùng và giữ cảnh báo</t>
        </is>
      </c>
      <c r="C30" s="8" t="inlineStr">
        <is>
          <t>Đăng nhập Mobile; mở Danh sách thuốc → Thêm thuốc → trường Thuốc. Dữ liệu/hạ tầng theo Test Data; test tự động dùng fixture riêng.</t>
        </is>
      </c>
      <c r="D30" s="8" t="inlineStr">
        <is>
          <t>1. Tìm losartan.
2. Quan sát nhãn Đang dùng và chọn.
3. Sau khi chạm thuốc, kiểm tra vùng Thông tin thuốc đã chọn; bấm Xác nhận thuốc để trả về form.
4. Quan sát form.</t>
        </is>
      </c>
      <c r="E30" s="8" t="inlineStr">
        <is>
          <t>Losartan 50mg đã có trong danh sách</t>
        </is>
      </c>
      <c r="F30" s="8" t="inlineStr">
        <is>
          <t>Giữ nhãn Đang dùng và cảnh báo đã có trong danh sách đang dùng; vẫn chọn được. Chạm dòng chỉ chọn; chỉ Xác nhận thuốc mới đóng sheet và trả lựa chọn.</t>
        </is>
      </c>
      <c r="G30" s="8" t="inlineStr">
        <is>
          <t>Chạy lại 2026-10-27: assertion tương ứng đạt trong medication 172/172; evidence/test-medication.log. Nguồn là fake/widget, không phải API/DB thật.</t>
        </is>
      </c>
      <c r="H30" s="7" t="inlineStr">
        <is>
          <t>Pass</t>
        </is>
      </c>
      <c r="I30" s="8" t="inlineStr">
        <is>
          <t>Task 3.05: AC13 · Decision Table (R1) · 3.05: hủy/chọn lại giữ dữ liệu sử dụng, chưa tự lưu và đúng catalog id · Task 4.16: hồi quy · evidence/test-medication.log</t>
        </is>
      </c>
    </row>
    <row r="31" ht="90.5" customHeight="1">
      <c r="A31" s="7" t="inlineStr">
        <is>
          <t>TC-MEDPICK-23</t>
        </is>
      </c>
      <c r="B31" s="7" t="inlineStr">
        <is>
          <t>Gọi đúng GET và giữ id/nullable/thứ tự</t>
        </is>
      </c>
      <c r="C31" s="8" t="inlineStr">
        <is>
          <t>Đăng nhập Mobile; mở Danh sách thuốc → Thêm thuốc → trường Thuốc. Dữ liệu/hạ tầng theo Test Data; test tự động dùng fixture riêng.</t>
        </is>
      </c>
      <c r="D31" s="8" t="inlineStr">
        <is>
          <t>1. Gọi RemoteMedicationRepository.searchCatalog.
2. Kiểm method/path/q và item mapper.</t>
        </is>
      </c>
      <c r="E31" s="8" t="inlineStr">
        <is>
          <t>q có khoảng trắng; hai item khác id, trường nullable</t>
        </is>
      </c>
      <c r="F31" s="8" t="inlineStr">
        <is>
          <t>GET /catalog/medications với q trim; giữ thứ tự và id; nullable không tạo dữ liệu giả.</t>
        </is>
      </c>
      <c r="G31" s="8" t="inlineStr">
        <is>
          <t>Chạy lại 2026-10-27: assertion tương ứng đạt trong medication 172/172; evidence/test-medication.log. Nguồn là fake/widget, không phải API/DB thật.</t>
        </is>
      </c>
      <c r="H31" s="7" t="inlineStr">
        <is>
          <t>Pass</t>
        </is>
      </c>
      <c r="I31" s="8" t="inlineStr">
        <is>
          <t>Task 3.05: AC3, AC5, AC6 · EP (1,2) · 3.05 search GET trim, server order, nullable and exact ids · Task 4.16: hồi quy · evidence/test-medication.log</t>
        </is>
      </c>
    </row>
    <row r="32" ht="107" customHeight="1">
      <c r="A32" s="7" t="inlineStr">
        <is>
          <t>TC-MEDPICK-24</t>
        </is>
      </c>
      <c r="B32" s="7" t="inlineStr">
        <is>
          <t>Cuộn trạng thái ở màn nhỏ có bàn phím</t>
        </is>
      </c>
      <c r="C32" s="8" t="inlineStr">
        <is>
          <t>Đăng nhập Mobile; mở Danh sách thuốc → Thêm thuốc → trường Thuốc. Dữ liệu/hạ tầng theo Test Data; test tự động dùng fixture riêng.</t>
        </is>
      </c>
      <c r="D32" s="8" t="inlineStr">
        <is>
          <t>1. Mở sheet ở cấu hình đã nêu.
2. Cho lỗi mạng, cuộn tới Thử lại và bấm.
3. Trả rỗng rồi kết quả; cuộn tới kết quả.</t>
        </is>
      </c>
      <c r="E32" s="8" t="inlineStr">
        <is>
          <t>Widget 320×640; scale 1.5; keyboard inset 250</t>
        </is>
      </c>
      <c r="F32" s="8" t="inlineStr">
        <is>
          <t>Không exception layout; retry chạm được và kết quả cuộn được. Chỉ là kiểm tra widget hỗ trợ AC14.</t>
        </is>
      </c>
      <c r="G32" s="8" t="inlineStr">
        <is>
          <t>Chạy lại 2026-10-27: assertion tương ứng đạt trong medication 172/172; evidence/test-medication.log. Nguồn là fake/widget, không phải API/DB thật.</t>
        </is>
      </c>
      <c r="H32" s="7" t="inlineStr">
        <is>
          <t>Pass</t>
        </is>
      </c>
      <c r="I32" s="8" t="inlineStr">
        <is>
          <t>Task 3.05: AC14 · Đoán lỗi layout · small screen large text with keyboard: states scroll and retry remains reachable · Task 4.16: hồi quy · evidence/test-medication.log</t>
        </is>
      </c>
    </row>
    <row r="33" ht="107" customHeight="1">
      <c r="A33" s="7" t="inlineStr">
        <is>
          <t>TC-MEDPICK-25</t>
        </is>
      </c>
      <c r="B33" s="7" t="inlineStr">
        <is>
          <t>Tìm tên/hoạt chất có dấu, không dấu và khác hoa thường trên DB thật</t>
        </is>
      </c>
      <c r="C33" s="8" t="inlineStr">
        <is>
          <t>Đăng nhập Mobile; mở Danh sách thuốc → Thêm thuốc → trường Thuốc. Dữ liệu/hạ tầng theo Test Data; test tự động dùng fixture riêng.</t>
        </is>
      </c>
      <c r="D33" s="8" t="inlineStr">
        <is>
          <t>1. Reset Supabase local, không dùng DB deploy.
2. Chạy pytest tests/integration/test_catalog_search.py -q -ra.
3. Kiểm test_unaccented_and_case_insensitive__AC5c và response.</t>
        </is>
      </c>
      <c r="E33" s="8" t="inlineStr">
        <is>
          <t>Thuốc ho Bảo Thanh &lt;tag&gt;; Đồng sulfat &lt;tag&gt;; các query thuoc ho bao thanh, THUỐC HO BẢO THANH, dong sulfat, ĐỒNG SULFAT</t>
        </is>
      </c>
      <c r="F33" s="8" t="inlineStr">
        <is>
          <t>HTTP 200; cùng thuốc phù hợp cho các biến thể dấu và hoa thường.</t>
        </is>
      </c>
      <c r="G33" s="8" t="inlineStr">
        <is>
          <t>2026-10-28: Pass với PostgreSQL Supabase local sau reset. Tên/hoạt chất có dấu, không dấu và hoa thường trả HTTP 200, đúng thuốc qua cả /catalog/medications và /medications/search. Suite catalog: 43 pass, 0 fail, 0 skip (9.86s).</t>
        </is>
      </c>
      <c r="H33" s="7" t="inlineStr">
        <is>
          <t>Pass</t>
        </is>
      </c>
      <c r="I33" s="8" t="inlineStr">
        <is>
          <t>Task 3.05: AC4 · EP (1); tích hợp DB thật · pytest tests/integration/test_catalog_search.py · Đã chạy lại 2026-10-28: evidence/test-pending-catalog-search-rerun.log</t>
        </is>
      </c>
    </row>
    <row r="34" ht="107" customHeight="1">
      <c r="A34" s="7" t="inlineStr">
        <is>
          <t>TC-MEDPICK-26</t>
        </is>
      </c>
      <c r="B34" s="7" t="inlineStr">
        <is>
          <t>Loại thuốc đã gỡ và kiểm limit/thứ tự ở API thật</t>
        </is>
      </c>
      <c r="C34" s="8" t="inlineStr">
        <is>
          <t>Đăng nhập Mobile; mở Danh sách thuốc → Thêm thuốc → trường Thuốc. Dữ liệu/hạ tầng theo Test Data; test tự động dùng fixture riêng.</t>
        </is>
      </c>
      <c r="D34" s="8" t="inlineStr">
        <is>
          <t>1. Chuẩn bị fixture trong test_catalog_search.py.
2. Chạy test_matches_name_and_ingredient_excludes_deleted_respects_limit__AC5 và test_prefix_first_then_name_order__AC5.</t>
        </is>
      </c>
      <c r="E34" s="8" t="inlineStr">
        <is>
          <t>Metformin &lt;tag&gt;, Glucophage &lt;tag&gt;; một thuốc deleted_at khác null; limit=1</t>
        </is>
      </c>
      <c r="F34" s="8" t="inlineStr">
        <is>
          <t>Chỉ thuốc chưa gỡ, đúng schema; limit 1; tiền tố tên được ưu tiên, sau đó thứ tự tên.</t>
        </is>
      </c>
      <c r="G34" s="8" t="inlineStr">
        <is>
          <t>2026-10-28: Pass trên DB local thật: loại thuốc deleted_at khác null; đúng 5 trường schema; limit=1; ưu tiên tiền tố tên rồi thứ tự tên. Các test tương ứng pass cho cả hai route; suite 43 pass.</t>
        </is>
      </c>
      <c r="H34" s="7" t="inlineStr">
        <is>
          <t>Pass</t>
        </is>
      </c>
      <c r="I34" s="8" t="inlineStr">
        <is>
          <t>Task 3.05: AC4 · EP (1); tích hợp DB thật · pytest tests/integration/test_catalog_search.py · Đã chạy lại 2026-10-28: evidence/test-pending-catalog-search-rerun.log</t>
        </is>
      </c>
    </row>
    <row r="35" ht="156.5" customHeight="1">
      <c r="A35" s="7" t="inlineStr">
        <is>
          <t>TC-MEDPICK-27</t>
        </is>
      </c>
      <c r="B35" s="7" t="inlineStr">
        <is>
          <t>Chọn thuốc từ Mobile nối Backend API thật</t>
        </is>
      </c>
      <c r="C35" s="8" t="inlineStr">
        <is>
          <t>Đăng nhập Mobile; mở Danh sách thuốc → Thêm thuốc → trường Thuốc. Dữ liệu/hạ tầng theo Test Data; test tự động dùng fixture riêng.</t>
        </is>
      </c>
      <c r="D35" s="8" t="inlineStr">
        <is>
          <t>1. Chạy app với DRUGTIME_API_BASE_URL trỏ Backend local; đăng nhập tài khoản test.
2. Mở Thêm thuốc → Thuốc; tìm tên/hoạt chất có dấu, không dấu, hoa thường.
3. Sau khi chạm thuốc, kiểm tra vùng Thông tin thuốc đã chọn; bấm Xác nhận thuốc để trả về form.
4. Chọn item; đối chiếu id trong phản hồi API và form; không bấm Lưu.</t>
        </is>
      </c>
      <c r="E35" s="8" t="inlineStr">
        <is>
          <t>Danh mục local có tên/hoạt chất có dấu và một thuốc đã gỡ; tài khoản test</t>
        </is>
      </c>
      <c r="F35" s="8" t="inlineStr">
        <is>
          <t>Chọn đúng item/id; không thấy thuốc gỡ; tìm/chọn chưa tạo thuốc cá nhân. Chạm dòng chỉ chọn; chỉ Xác nhận thuốc mới đóng sheet và trả lựa chọn.</t>
        </is>
      </c>
      <c r="G35" s="8" t="inlineStr">
        <is>
          <t>2026-10-28: Pass trên LM G710 Android 13/font1.0 với Backend API và PostgreSQL local thật. Cả 5 query có dấu/không dấu/hoa thường/tên/hoạt chất trả đúng id=153, loại id đã gỡ=154. Chạm chỉ chọn, form giữ nguyên đến Xác nhận thuốc; ID/tên/hoạt chất/hàm lượng/dạng bào chế khớp. add_calls=0; DB meds/schedules/prescriptions giữ 0/0/0.</t>
        </is>
      </c>
      <c r="H35" s="7" t="inlineStr">
        <is>
          <t>Pass</t>
        </is>
      </c>
      <c r="I35" s="8" t="inlineStr">
        <is>
          <t>Task 3.05: AC4, AC5 · Flutter drive thiết bị thật + Backend API thật + PostgreSQL local; session từ fixture, không test login · Đã chạy lại 2026-10-28; evidence/test-pending-device-response.json</t>
        </is>
      </c>
    </row>
    <row r="36" ht="173" customHeight="1">
      <c r="A36" s="7" t="inlineStr">
        <is>
          <t>TC-MEDPICK-28</t>
        </is>
      </c>
      <c r="B36" s="7" t="inlineStr">
        <is>
          <t>Đọc và chọn thuốc trên thiết bị với cỡ chữ lớn và bàn phím</t>
        </is>
      </c>
      <c r="C36" s="8" t="inlineStr">
        <is>
          <t>Đăng nhập Mobile; mở Danh sách thuốc → Thêm thuốc → trường Thuốc. Dữ liệu/hạ tầng theo Test Data; test tự động dùng fixture riêng.</t>
        </is>
      </c>
      <c r="D36" s="8" t="inlineStr">
        <is>
          <t>1. Mở form và sheet; bật cỡ chữ lớn trong cấu hình thiết bị.
2. Kiểm hướng dẫn, loading, không kết quả, lỗi và retry.
3. Tìm thuốc, cuộn và chọn kết quả; kiểm form.
4. Sau khi chạm thuốc, kiểm tra vùng Thông tin thuốc đã chọn; bấm Xác nhận thuốc để trả về form.
5. Khôi phục cỡ chữ ban đầu sau test.</t>
        </is>
      </c>
      <c r="E36" s="8" t="inlineStr">
        <is>
          <t>Điện thoại LM G710 Android 13; cỡ chữ lớn; bàn phím mở</t>
        </is>
      </c>
      <c r="F36" s="8" t="inlineStr">
        <is>
          <t>Nội dung đọc/cuộn được; bàn phím không che thao tác; chọn trả đúng thuốc về form. Chạm dòng chỉ chọn; chỉ Xác nhận thuốc mới đóng sheet và trả lựa chọn.</t>
        </is>
      </c>
      <c r="G36" s="8" t="inlineStr">
        <is>
          <t>2026-10-28: Fail trên LM G710 Android 13, viewport 360×616 dp, text scale 1.5; keyboard thật 325.5 dp. Hướng dẫn/loading/503 một lần/retry/no-result/query99 và chọn từ API/DB local đã chạy. Chạm item đã chọn, nhưng vùng xem lại chỉ 21.34 dp &lt; một dòng metadata 35 dp. Không đủ đọc một dòng trước xác nhận; regression exit 1. Cấu hình thiết bị được khôi phục.</t>
        </is>
      </c>
      <c r="H36" s="7" t="inlineStr">
        <is>
          <t>Fail</t>
        </is>
      </c>
      <c r="I36" s="8" t="inlineStr">
        <is>
          <t>Task 3.05: AC14 · Flutter drive trên thiết bị thật + agent kiểm ảnh; thay thao tác tay bằng cùng luồng tự động, không giả lập viewInsets · 2026-10-28 Fail cùng lỗi layout BUG-MEDPICK-51 · evidence/test-pending-TC28-android-confirmed.log · Lỗi đã biết được người dùng chấp nhận, hoãn sửa (2026-10-28)</t>
        </is>
      </c>
    </row>
    <row r="37" ht="107" customHeight="1">
      <c r="A37" s="7" t="inlineStr">
        <is>
          <t>TC-MEDPICK-29</t>
        </is>
      </c>
      <c r="B37" s="7" t="inlineStr">
        <is>
          <t>Tìm chuỗi ký tự đặc biệt nguyên văn</t>
        </is>
      </c>
      <c r="C37" s="8" t="inlineStr">
        <is>
          <t>Đăng nhập Mobile; mở Danh sách thuốc → Thêm thuốc → trường Thuốc. Dữ liệu/hạ tầng theo Test Data; test tự động dùng fixture riêng.</t>
        </is>
      </c>
      <c r="D37" s="8" t="inlineStr">
        <is>
          <t>1. Chạy test_like_wildcards_are_literal__AC6 với DB local.
2. Kiểm items không bị wildcard khớp tất cả.</t>
        </is>
      </c>
      <c r="E37" s="8" t="inlineStr">
        <is>
          <t>q=%; q=_; tên có 100% tự nhiên, a_b, axb</t>
        </is>
      </c>
      <c r="F37" s="8" t="inlineStr">
        <is>
          <t>Chỉ khớp ký tự nguyên văn; không mở rộng thành mọi thuốc.</t>
        </is>
      </c>
      <c r="G37" s="8" t="inlineStr">
        <is>
          <t>2026-10-28: Pass trên DB local thật: %, _ và backslash được tìm nguyên văn; query % hoặc _ không khớp mọi thuốc. Test literal wildcard pass cho cả hai route; suite 43 pass.</t>
        </is>
      </c>
      <c r="H37" s="7" t="inlineStr">
        <is>
          <t>Pass</t>
        </is>
      </c>
      <c r="I37" s="8" t="inlineStr">
        <is>
          <t>Task 3.05: AC4 · Đoán lỗi SQL wildcard; tích hợp DB thật · pytest tests/integration/test_catalog_search.py · Đã chạy lại 2026-10-28: evidence/test-pending-catalog-search-rerun.log</t>
        </is>
      </c>
    </row>
    <row r="38" ht="107" customHeight="1">
      <c r="A38" s="7" t="inlineStr">
        <is>
          <t>TC-MEDPICK-30</t>
        </is>
      </c>
      <c r="B38" s="7" t="inlineStr">
        <is>
          <t>Dùng chung màn chọn cho OCR và tìm kiếm</t>
        </is>
      </c>
      <c r="C38" s="8" t="inlineStr">
        <is>
          <t>Bản debug preview DrugTime; mở Thêm thuốc mới → Mẫu · Xem thử chọn và xác nhận thuốc. Test tự động dùng fixture/harness tương ứng, không ảnh OCR hoặc dữ liệu người bệnh thật.</t>
        </is>
      </c>
      <c r="D38" s="8" t="inlineStr">
        <is>
          <t>1. Mở OCR · Có kết quả.
2. Hủy; mở Tìm kiếm · Có kết quả.
3. Chọn và xác nhận một ứng viên ở mỗi nguồn.</t>
        </is>
      </c>
      <c r="E38" s="8" t="inlineStr">
        <is>
          <t>demo-500 và demo-250</t>
        </is>
      </c>
      <c r="F38" s="8" t="inlineStr">
        <is>
          <t>Cùng DrugSelectionPanel và quy tắc chọn/xác nhận; trả đúng đối tượng gốc.</t>
        </is>
      </c>
      <c r="G38" s="8" t="inlineStr">
        <is>
          <t>Đạt assertion same panel, explicit confirm returns original item; chạy 2026-10-27; evidence/test-medication.log.</t>
        </is>
      </c>
      <c r="H38" s="7" t="inlineStr">
        <is>
          <t>Pass</t>
        </is>
      </c>
      <c r="I38" s="8" t="inlineStr">
        <is>
          <t>Task 4.16: AC1 · Chuyển trạng thái · same panel, explicit confirm returns original item · evidence/test-medication.log</t>
        </is>
      </c>
    </row>
    <row r="39" ht="107" customHeight="1">
      <c r="A39" s="7" t="inlineStr">
        <is>
          <t>TC-MEDPICK-31</t>
        </is>
      </c>
      <c r="B39" s="7" t="inlineStr">
        <is>
          <t>Giữ thứ tự, định danh và hàm lượng khi trùng tên</t>
        </is>
      </c>
      <c r="C39" s="8" t="inlineStr">
        <is>
          <t>Bản debug preview DrugTime; mở Thêm thuốc mới → Mẫu · Xem thử chọn và xác nhận thuốc. Test tự động dùng fixture/harness tương ứng, không ảnh OCR hoặc dữ liệu người bệnh thật.</t>
        </is>
      </c>
      <c r="D39" s="8" t="inlineStr">
        <is>
          <t>1. Mở OCR · Có kết quả.
2. Đọc hai dòng cùng tên theo thứ tự.
3. Chọn dòng 250 mg; xác nhận.</t>
        </is>
      </c>
      <c r="E39" s="8" t="inlineStr">
        <is>
          <t>demo-500: 500 mg/Viên nén/viên; demo-250: 250 mg/Gói bột/gói</t>
        </is>
      </c>
      <c r="F39" s="8" t="inlineStr">
        <is>
          <t>500 mg trước 250 mg; kết quả demo-250 giữ nguyên metadata, không xếp hạng lại.</t>
        </is>
      </c>
      <c r="G39" s="8" t="inlineStr">
        <is>
          <t>Đạt assertion order, identity, tap only selects; confirm returns latest once; chạy 2026-10-27; evidence/test-medication.log.</t>
        </is>
      </c>
      <c r="H39" s="7" t="inlineStr">
        <is>
          <t>Pass</t>
        </is>
      </c>
      <c r="I39" s="8" t="inlineStr">
        <is>
          <t>Task 4.16: AC2 · EP (2) · order, identity, tap only selects; confirm returns latest once · evidence/test-medication.log</t>
        </is>
      </c>
    </row>
    <row r="40" ht="107" customHeight="1">
      <c r="A40" s="7" t="inlineStr">
        <is>
          <t>TC-MEDPICK-32</t>
        </is>
      </c>
      <c r="B40" s="7" t="inlineStr">
        <is>
          <t>Chặn xác nhận khi chưa chọn thuốc</t>
        </is>
      </c>
      <c r="C40" s="8" t="inlineStr">
        <is>
          <t>Bản debug preview DrugTime; mở Thêm thuốc mới → Mẫu · Xem thử chọn và xác nhận thuốc. Test tự động dùng fixture/harness tương ứng, không ảnh OCR hoặc dữ liệu người bệnh thật.</t>
        </is>
      </c>
      <c r="D40" s="8" t="inlineStr">
        <is>
          <t>1. Mở preset có kết quả.
2. Quan sát và thử nút Xác nhận thuốc trước khi chạm dòng.</t>
        </is>
      </c>
      <c r="E40" s="8" t="inlineStr">
        <is>
          <t>Hai ứng viên; selected=null</t>
        </is>
      </c>
      <c r="F40" s="8" t="inlineStr">
        <is>
          <t>Nút vô hiệu; không trả lựa chọn hay tạo thuốc.</t>
        </is>
      </c>
      <c r="G40" s="8" t="inlineStr">
        <is>
          <t>Đạt assertion order, identity, tap only selects; confirm returns latest once; chạy 2026-10-27; evidence/test-medication.log.</t>
        </is>
      </c>
      <c r="H40" s="7" t="inlineStr">
        <is>
          <t>Pass</t>
        </is>
      </c>
      <c r="I40" s="8" t="inlineStr">
        <is>
          <t>Task 4.16: AC3 · Decision Table Cho phép xác nhận (R2) · order, identity, tap only selects; confirm returns latest once · evidence/test-medication.log</t>
        </is>
      </c>
    </row>
    <row r="41" ht="107" customHeight="1">
      <c r="A41" s="7" t="inlineStr">
        <is>
          <t>TC-MEDPICK-33</t>
        </is>
      </c>
      <c r="B41" s="7" t="inlineStr">
        <is>
          <t>Chỉ cập nhật xem lại khi chạm dòng</t>
        </is>
      </c>
      <c r="C41" s="8" t="inlineStr">
        <is>
          <t>Bản debug preview DrugTime; mở Thêm thuốc mới → Mẫu · Xem thử chọn và xác nhận thuốc. Test tự động dùng fixture/harness tương ứng, không ảnh OCR hoặc dữ liệu người bệnh thật.</t>
        </is>
      </c>
      <c r="D41" s="8" t="inlineStr">
        <is>
          <t>1. Mở OCR · Có kết quả.
2. Chạm dòng demo-500.
3. Đọc vùng Thông tin thuốc đã chọn; chưa bấm xác nhận.</t>
        </is>
      </c>
      <c r="E41" s="8" t="inlineStr">
        <is>
          <t>demo-500</t>
        </is>
      </c>
      <c r="F41" s="8" t="inlineStr">
        <is>
          <t>Hiện Tên thuốc/Hoạt chất/Hàm lượng/Dạng bào chế/Đơn vị; màn vẫn mở, caller chưa nhận kết quả.</t>
        </is>
      </c>
      <c r="G41" s="8" t="inlineStr">
        <is>
          <t>Đạt assertion same panel, explicit confirm returns original item; chạy 2026-10-27; evidence/test-medication.log.</t>
        </is>
      </c>
      <c r="H41" s="7" t="inlineStr">
        <is>
          <t>Pass</t>
        </is>
      </c>
      <c r="I41" s="8" t="inlineStr">
        <is>
          <t>Task 4.16: AC3 · Chuyển trạng thái chưa chọn → đã chọn · same panel, explicit confirm returns original item · evidence/test-medication.log</t>
        </is>
      </c>
    </row>
    <row r="42" ht="107" customHeight="1">
      <c r="A42" s="7" t="inlineStr">
        <is>
          <t>TC-MEDPICK-34</t>
        </is>
      </c>
      <c r="B42" s="7" t="inlineStr">
        <is>
          <t>Đổi lựa chọn và xác nhận một lần</t>
        </is>
      </c>
      <c r="C42" s="8" t="inlineStr">
        <is>
          <t>Bản debug preview DrugTime; mở Thêm thuốc mới → Mẫu · Xem thử chọn và xác nhận thuốc. Test tự động dùng fixture/harness tương ứng, không ảnh OCR hoặc dữ liệu người bệnh thật.</t>
        </is>
      </c>
      <c r="D42" s="8" t="inlineStr">
        <is>
          <t>1. Chọn demo-500.
2. Cuộn xuống và chọn demo-250.
3. Bấm Xác nhận thuốc hai lần liên tiếp.</t>
        </is>
      </c>
      <c r="E42" s="8" t="inlineStr">
        <is>
          <t>500 mg → 250 mg</t>
        </is>
      </c>
      <c r="F42" s="8" t="inlineStr">
        <is>
          <t>Chỉ trả demo-250 một lần; khóa callback xác nhận lặp.</t>
        </is>
      </c>
      <c r="G42" s="8" t="inlineStr">
        <is>
          <t>Đạt assertion order, identity, tap only selects; confirm returns latest once; chạy 2026-10-27; evidence/test-medication.log.</t>
        </is>
      </c>
      <c r="H42" s="7" t="inlineStr">
        <is>
          <t>Pass</t>
        </is>
      </c>
      <c r="I42" s="8" t="inlineStr">
        <is>
          <t>Task 4.16: AC3, AC4 · Decision Table Cho phép xác nhận (R3); đoán lỗi double tap · order, identity, tap only selects; confirm returns latest once · evidence/test-medication.log</t>
        </is>
      </c>
    </row>
    <row r="43" ht="107" customHeight="1">
      <c r="A43" s="7" t="inlineStr">
        <is>
          <t>TC-MEDPICK-35</t>
        </is>
      </c>
      <c r="B43" s="7" t="inlineStr">
        <is>
          <t>Hủy lựa chọn từ cả hai nguồn</t>
        </is>
      </c>
      <c r="C43" s="8" t="inlineStr">
        <is>
          <t>Bản debug preview DrugTime; mở Thêm thuốc mới → Mẫu · Xem thử chọn và xác nhận thuốc. Test tự động dùng fixture/harness tương ứng, không ảnh OCR hoặc dữ liệu người bệnh thật.</t>
        </is>
      </c>
      <c r="D43" s="8" t="inlineStr">
        <is>
          <t>1. Mở lần lượt OCR/Tìm kiếm · Có kết quả.
2. Chọn một dòng; bấm Hủy.
3. Kiểm caller không nhận thuốc.</t>
        </is>
      </c>
      <c r="E43" s="8" t="inlineStr">
        <is>
          <t>Hai nguồn, demo-500</t>
        </is>
      </c>
      <c r="F43" s="8" t="inlineStr">
        <is>
          <t>Trả null; không biến chọn tạm thành xác nhận.</t>
        </is>
      </c>
      <c r="G43" s="8" t="inlineStr">
        <is>
          <t>Đạt assertion cancel returns null; chạy 2026-10-27; evidence/test-medication.log.</t>
        </is>
      </c>
      <c r="H43" s="7" t="inlineStr">
        <is>
          <t>Pass</t>
        </is>
      </c>
      <c r="I43" s="8" t="inlineStr">
        <is>
          <t>Task 4.16: AC4 · Chuyển trạng thái đã chọn → hủy · cancel returns null · evidence/test-medication.log</t>
        </is>
      </c>
    </row>
    <row r="44" ht="107" customHeight="1">
      <c r="A44" s="7" t="inlineStr">
        <is>
          <t>TC-MEDPICK-36</t>
        </is>
      </c>
      <c r="B44" s="7" t="inlineStr">
        <is>
          <t>Dùng Back sau khi chọn từ cả hai nguồn</t>
        </is>
      </c>
      <c r="C44" s="8" t="inlineStr">
        <is>
          <t>Bản debug preview DrugTime; mở Thêm thuốc mới → Mẫu · Xem thử chọn và xác nhận thuốc. Test tự động dùng fixture/harness tương ứng, không ảnh OCR hoặc dữ liệu người bệnh thật.</t>
        </is>
      </c>
      <c r="D44" s="8" t="inlineStr">
        <is>
          <t>1. Mở lần lượt hai nguồn có kết quả.
2. Chọn demo-500 rồi dùng Back.
3. Kiểm kết quả caller.</t>
        </is>
      </c>
      <c r="E44" s="8" t="inlineStr">
        <is>
          <t>System Back</t>
        </is>
      </c>
      <c r="F44" s="8" t="inlineStr">
        <is>
          <t>Trả null, không xác nhận/lưu.</t>
        </is>
      </c>
      <c r="G44" s="8" t="inlineStr">
        <is>
          <t>Đạt assertion system Back returns null; chạy 2026-10-27; evidence/test-medication.log.</t>
        </is>
      </c>
      <c r="H44" s="7" t="inlineStr">
        <is>
          <t>Pass</t>
        </is>
      </c>
      <c r="I44" s="8" t="inlineStr">
        <is>
          <t>Task 4.16: AC4 · Chuyển trạng thái đã chọn → Back · system Back returns null · evidence/test-medication.log</t>
        </is>
      </c>
    </row>
    <row r="45" ht="107" customHeight="1">
      <c r="A45" s="7" t="inlineStr">
        <is>
          <t>TC-MEDPICK-37</t>
        </is>
      </c>
      <c r="B45" s="7" t="inlineStr">
        <is>
          <t>Tìm thủ công từ OCR rỗng và trả đúng caller</t>
        </is>
      </c>
      <c r="C45" s="8" t="inlineStr">
        <is>
          <t>Bản debug preview DrugTime; mở Thêm thuốc mới → Mẫu · Xem thử chọn và xác nhận thuốc. Test tự động dùng fixture/harness tương ứng, không ảnh OCR hoặc dữ liệu người bệnh thật.</t>
        </is>
      </c>
      <c r="D45" s="8" t="inlineStr">
        <is>
          <t>1. Mở OCR · Không có kết quả.
2. Bấm Tìm kiếm thủ công; nhập Paracetamol.
3. Chọn dòng 250 mg; bấm Xác nhận thuốc.</t>
        </is>
      </c>
      <c r="E45" s="8" t="inlineStr">
        <is>
          <t>items=[] → q=Paracetamol → demo-250</t>
        </is>
      </c>
      <c r="F45" s="8" t="inlineStr">
        <is>
          <t>Không tự chọn khi rỗng; sau confirm đóng sheet/màn gốc, caller nhận đúng một demo-250.</t>
        </is>
      </c>
      <c r="G45" s="8" t="inlineStr">
        <is>
          <t>Đạt assertion ocr empty manual search confirm reaches original caller once; chạy 2026-10-27; evidence/test-medication.log.</t>
        </is>
      </c>
      <c r="H45" s="7" t="inlineStr">
        <is>
          <t>Pass</t>
        </is>
      </c>
      <c r="I45" s="8" t="inlineStr">
        <is>
          <t>Task 4.16: AC5 · Decision Table Cho phép xác nhận (R1); chuyển trạng thái · ocr empty manual search confirm reaches original caller once · evidence/test-medication.log</t>
        </is>
      </c>
    </row>
    <row r="46" ht="107" customHeight="1">
      <c r="A46" s="7" t="inlineStr">
        <is>
          <t>TC-MEDPICK-38</t>
        </is>
      </c>
      <c r="B46" s="7" t="inlineStr">
        <is>
          <t>Sửa từ khóa ngay trong sheet khi tìm rỗng</t>
        </is>
      </c>
      <c r="C46" s="8" t="inlineStr">
        <is>
          <t>Bản debug preview DrugTime; mở Thêm thuốc mới → Mẫu · Xem thử chọn và xác nhận thuốc. Test tự động dùng fixture/harness tương ứng, không ảnh OCR hoặc dữ liệu người bệnh thật.</t>
        </is>
      </c>
      <c r="D46" s="8" t="inlineStr">
        <is>
          <t>1. Mở Tìm kiếm · Không có kết quả.
2. Tìm thủ công; nhập unknown.
3. Bấm Tìm kiếm thủ công một lần nữa; thay từ khóa.</t>
        </is>
      </c>
      <c r="E46" s="8" t="inlineStr">
        <is>
          <t>unknown → Paracetamol</t>
        </is>
      </c>
      <c r="F46" s="8" t="inlineStr">
        <is>
          <t>Chỉ một sheet; focus và chọn nội dung ô nhập hiện tại; cho tìm lại, không tới Admin hay tạo thuốc ngoài danh mục.</t>
        </is>
      </c>
      <c r="G46" s="8" t="inlineStr">
        <is>
          <t>Đạt assertion empty action focuses and selects current query on same route; chạy 2026-10-27; evidence/test-medication.log.</t>
        </is>
      </c>
      <c r="H46" s="7" t="inlineStr">
        <is>
          <t>Pass</t>
        </is>
      </c>
      <c r="I46" s="8" t="inlineStr">
        <is>
          <t>Task 4.16: AC6 · Decision Table Kết quả tìm kiếm (R2) · empty action focuses and selects current query on same route · evidence/test-medication.log</t>
        </is>
      </c>
    </row>
    <row r="47" ht="107" customHeight="1">
      <c r="A47" s="7" t="inlineStr">
        <is>
          <t>TC-MEDPICK-39</t>
        </is>
      </c>
      <c r="B47" s="7" t="inlineStr">
        <is>
          <t>Lặp tìm rỗng, hủy sheet rồi tìm lại</t>
        </is>
      </c>
      <c r="C47" s="8" t="inlineStr">
        <is>
          <t>Bản debug preview DrugTime; mở Thêm thuốc mới → Mẫu · Xem thử chọn và xác nhận thuốc. Test tự động dùng fixture/harness tương ứng, không ảnh OCR hoặc dữ liệu người bệnh thật.</t>
        </is>
      </c>
      <c r="D47" s="8" t="inlineStr">
        <is>
          <t>1. Mở preset rỗng.
2. Hai lần mở tìm thủ công, nhập no-match, bấm tìm lại và dùng Back đóng sheet.
3. Hủy màn gốc.</t>
        </is>
      </c>
      <c r="E47" s="8" t="inlineStr">
        <is>
          <t>no-match, lặp 2 lần; cả OCR/search</t>
        </is>
      </c>
      <c r="F47" s="8" t="inlineStr">
        <is>
          <t>Sheet không lồng vô hạn; Back về màn gốc; hủy trả null.</t>
        </is>
      </c>
      <c r="G47" s="8" t="inlineStr">
        <is>
          <t>Đạt assertion repeated no-result focuses same field; cancel and retry; chạy 2026-10-27; evidence/test-medication.log.</t>
        </is>
      </c>
      <c r="H47" s="7" t="inlineStr">
        <is>
          <t>Pass</t>
        </is>
      </c>
      <c r="I47" s="8" t="inlineStr">
        <is>
          <t>Task 4.16: AC5, AC6 · Chuyển trạng thái empty → search → empty → cancel · repeated no-result focuses same field; cancel and retry · evidence/test-medication.log</t>
        </is>
      </c>
    </row>
    <row r="48" ht="107" customHeight="1">
      <c r="A48" s="7" t="inlineStr">
        <is>
          <t>TC-MEDPICK-40</t>
        </is>
      </c>
      <c r="B48" s="7" t="inlineStr">
        <is>
          <t>Xóa lựa chọn khi thay ứng viên hoặc metadata</t>
        </is>
      </c>
      <c r="C48" s="8" t="inlineStr">
        <is>
          <t>Bản debug preview DrugTime; mở Thêm thuốc mới → Mẫu · Xem thử chọn và xác nhận thuốc. Test tự động dùng fixture/harness tương ứng, không ảnh OCR hoặc dữ liệu người bệnh thật.</t>
        </is>
      </c>
      <c r="D48" s="8" t="inlineStr">
        <is>
          <t>1. Trong harness panel chọn A.
2. Thay danh sách bằng cùng id nhưng strength=Mới.
3. Chọn lại, rồi thay bằng danh sách rỗng.</t>
        </is>
      </c>
      <c r="E48" s="8" t="inlineStr">
        <is>
          <t>id giữ nguyên; strength cũ → Mới → items=[]</t>
        </is>
      </c>
      <c r="F48" s="8" t="inlineStr">
        <is>
          <t>Xóa vùng xem lại/lựa chọn mỗi lần thay; không confirm object cũ, kể cả cùng ID.</t>
        </is>
      </c>
      <c r="G48" s="8" t="inlineStr">
        <is>
          <t>Đạt assertion replacement, empty and same id changed metadata clear selection; chạy 2026-10-27; evidence/test-medication.log.</t>
        </is>
      </c>
      <c r="H48" s="7" t="inlineStr">
        <is>
          <t>Pass</t>
        </is>
      </c>
      <c r="I48" s="8" t="inlineStr">
        <is>
          <t>Task 4.16: AC7 · Decision Table Cho phép xác nhận (R4) · replacement, empty and same id changed metadata clear selection · evidence/test-medication.log</t>
        </is>
      </c>
    </row>
    <row r="49" ht="107" customHeight="1">
      <c r="A49" s="7" t="inlineStr">
        <is>
          <t>TC-MEDPICK-41</t>
        </is>
      </c>
      <c r="B49" s="7" t="inlineStr">
        <is>
          <t>Bỏ lựa chọn ngay khi đổi query và bỏ phản hồi cũ</t>
        </is>
      </c>
      <c r="C49" s="8" t="inlineStr">
        <is>
          <t>Bản debug preview DrugTime; mở Thêm thuốc mới → Mẫu · Xem thử chọn và xác nhận thuốc. Test tự động dùng fixture/harness tương ứng, không ảnh OCR hoặc dữ liệu người bệnh thật.</t>
        </is>
      </c>
      <c r="D49" s="8" t="inlineStr">
        <is>
          <t>1. Tìm A và chọn current.
2. Đổi B rồi A; trả new-current trước stale.
3. Quan sát nút và vùng xem lại.</t>
        </is>
      </c>
      <c r="E49" s="8" t="inlineStr">
        <is>
          <t>A → B → A; response đảo thứ tự</t>
        </is>
      </c>
      <c r="F49" s="8" t="inlineStr">
        <is>
          <t>Không còn lựa chọn cũ; stale không phục hồi lựa chọn; phải chọn lại.</t>
        </is>
      </c>
      <c r="G49" s="8" t="inlineStr">
        <is>
          <t>Đạt assertion query change removes selection immediately; stale response cannot restore it; chạy 2026-10-27; evidence/test-medication.log.</t>
        </is>
      </c>
      <c r="H49" s="7" t="inlineStr">
        <is>
          <t>Pass</t>
        </is>
      </c>
      <c r="I49" s="8" t="inlineStr">
        <is>
          <t>Task 4.16: AC7 · Chuyển trạng thái selected → loading; đoán lỗi race · query change removes selection immediately; stale response cannot restore it · evidence/test-medication.log</t>
        </is>
      </c>
    </row>
    <row r="50" ht="107" customHeight="1">
      <c r="A50" s="7" t="inlineStr">
        <is>
          <t>TC-MEDPICK-42</t>
        </is>
      </c>
      <c r="B50" s="7" t="inlineStr">
        <is>
          <t>Hiện trung thực metadata thiếu</t>
        </is>
      </c>
      <c r="C50" s="8" t="inlineStr">
        <is>
          <t>Bản debug preview DrugTime; mở Thêm thuốc mới → Mẫu · Xem thử chọn và xác nhận thuốc. Test tự động dùng fixture/harness tương ứng, không ảnh OCR hoặc dữ liệu người bệnh thật.</t>
        </is>
      </c>
      <c r="D50" s="8" t="inlineStr">
        <is>
          <t>1. Mở Thiếu thông tin.
2. Chạm dòng; đọc từng thuộc tính và xác nhận trong harness panel.</t>
        </is>
      </c>
      <c r="E50" s="8" t="inlineStr">
        <is>
          <t>demo-missing; hoạt chất/hàm lượng/dạng/đơn vị đều rỗng</t>
        </is>
      </c>
      <c r="F50" s="8" t="inlineStr">
        <is>
          <t>Chưa có thông tin; không null/crash, không bịa 500 mg hay đơn vị viên và không quy đổi.</t>
        </is>
      </c>
      <c r="G50" s="8" t="inlineStr">
        <is>
          <t>Đạt assertion missing fields are unknown without fabricated unit or strength; chạy 2026-10-27; evidence/test-medication.log.</t>
        </is>
      </c>
      <c r="H50" s="7" t="inlineStr">
        <is>
          <t>Pass</t>
        </is>
      </c>
      <c r="I50" s="8" t="inlineStr">
        <is>
          <t>Task 4.16: AC8 · EP (2) · missing fields are unknown without fabricated unit or strength · evidence/test-medication.log</t>
        </is>
      </c>
    </row>
    <row r="51" ht="107" customHeight="1">
      <c r="A51" s="7" t="inlineStr">
        <is>
          <t>TC-MEDPICK-43</t>
        </is>
      </c>
      <c r="B51" s="7" t="inlineStr">
        <is>
          <t>Cuộn danh sách dài và xem lại ở sáu cấu hình</t>
        </is>
      </c>
      <c r="C51" s="8" t="inlineStr">
        <is>
          <t>Bản debug preview DrugTime; mở Thêm thuốc mới → Mẫu · Xem thử chọn và xác nhận thuốc. Test tự động dùng fixture/harness tương ứng, không ảnh OCR hoặc dữ liệu người bệnh thật.</t>
        </is>
      </c>
      <c r="D51" s="8" t="inlineStr">
        <is>
          <t>1. Trong harness đặt lần lượt 320×568 và 375×812, scale 1/1.5/2.
2. Mở Tên dài và danh sách dài; cuộn dòng cuối.
3. Chọn dòng 29; xem lại và xác nhận.</t>
        </is>
      </c>
      <c r="E51" s="8" t="inlineStr">
        <is>
          <t>30 ứng viên; demo-long-29</t>
        </is>
      </c>
      <c r="F51" s="8" t="inlineStr">
        <is>
          <t>Đọc/cuộn/xác nhận được; trả đúng dòng cuối, không exception layout.</t>
        </is>
      </c>
      <c r="G51" s="8" t="inlineStr">
        <is>
          <t>Đạt assertion long list/name; chạy 2026-10-27; evidence/test-medication.log.</t>
        </is>
      </c>
      <c r="H51" s="7" t="inlineStr">
        <is>
          <t>Pass</t>
        </is>
      </c>
      <c r="I51" s="8" t="inlineStr">
        <is>
          <t>Task 4.16: AC10 · BVA danh sách dài; ma trận kích thước/chữ · long list/name · evidence/test-medication.log</t>
        </is>
      </c>
    </row>
    <row r="52" ht="107" customHeight="1">
      <c r="A52" s="7" t="inlineStr">
        <is>
          <t>TC-MEDPICK-44</t>
        </is>
      </c>
      <c r="B52" s="7" t="inlineStr">
        <is>
          <t>Giữ nút và semantics khi có bàn phím</t>
        </is>
      </c>
      <c r="C52" s="8" t="inlineStr">
        <is>
          <t>Bản debug preview DrugTime; mở Thêm thuốc mới → Mẫu · Xem thử chọn và xác nhận thuốc. Test tự động dùng fixture/harness tương ứng, không ảnh OCR hoặc dữ liệu người bệnh thật.</t>
        </is>
      </c>
      <c r="D52" s="8" t="inlineStr">
        <is>
          <t>1. Trong harness mở sheet với inset 220, hai kích thước và scale 1/1.5/2.
2. Tìm tên dài; chọn dòng.
3. Kiểm nhãn selected/button/enabled và nút xác nhận.</t>
        </is>
      </c>
      <c r="E52" s="8" t="inlineStr">
        <is>
          <t>320×568/375×812; 6 tổ hợp</t>
        </is>
      </c>
      <c r="F52" s="8" t="inlineStr">
        <is>
          <t>Không overflow; nút chạm được, semantics có nhãn và trạng thái chọn/khả dụng.</t>
        </is>
      </c>
      <c r="G52" s="8" t="inlineStr">
        <is>
          <t>Đạt assertion keyboard selection and semantics; semantics labels selected state and enabled confirm; chạy 2026-10-27; evidence/test-medication.log.</t>
        </is>
      </c>
      <c r="H52" s="7" t="inlineStr">
        <is>
          <t>Pass</t>
        </is>
      </c>
      <c r="I52" s="8" t="inlineStr">
        <is>
          <t>Task 4.16: AC10 · Ma trận layout và accessibility · keyboard selection and semantics; semantics labels selected state and enabled confirm · evidence/test-medication.log</t>
        </is>
      </c>
    </row>
    <row r="53" ht="107" customHeight="1">
      <c r="A53" s="7" t="inlineStr">
        <is>
          <t>TC-MEDPICK-45</t>
        </is>
      </c>
      <c r="B53" s="7" t="inlineStr">
        <is>
          <t>Đặt ô tìm và nút xác nhận trên bàn phím modal</t>
        </is>
      </c>
      <c r="C53" s="8" t="inlineStr">
        <is>
          <t>Bản debug preview DrugTime; mở Thêm thuốc mới → Mẫu · Xem thử chọn và xác nhận thuốc. Test tự động dùng fixture/harness tương ứng, không ảnh OCR hoặc dữ liệu người bệnh thật.</t>
        </is>
      </c>
      <c r="D53" s="8" t="inlineStr">
        <is>
          <t>1. Mở helper showDrugCatalogSheet ở 320×568, scale 2, inset 220.
2. Tìm modal; chọn và xác nhận.</t>
        </is>
      </c>
      <c r="E53" s="8" t="inlineStr">
        <is>
          <t>modal-item</t>
        </is>
      </c>
      <c r="F53" s="8" t="inlineStr">
        <is>
          <t>Đáy ô tìm và nút ≤348; trả đúng modal-item, không exception.</t>
        </is>
      </c>
      <c r="G53" s="8" t="inlineStr">
        <is>
          <t>Đạt assertion modal host places query and confirm above the keyboard; chạy 2026-10-27; evidence/test-medication.log.</t>
        </is>
      </c>
      <c r="H53" s="7" t="inlineStr">
        <is>
          <t>Pass</t>
        </is>
      </c>
      <c r="I53" s="8" t="inlineStr">
        <is>
          <t>Task 4.16: AC10 · BVA viewport · modal host places query and confirm above the keyboard · evidence/test-medication.log</t>
        </is>
      </c>
    </row>
    <row r="54" ht="123.5" customHeight="1">
      <c r="A54" s="7" t="inlineStr">
        <is>
          <t>TC-MEDPICK-46</t>
        </is>
      </c>
      <c r="B54" s="7" t="inlineStr">
        <is>
          <t>Chạy bốn preset offline và không lưu thuốc</t>
        </is>
      </c>
      <c r="C54" s="8" t="inlineStr">
        <is>
          <t>Bản debug preview DrugTime; mở Thêm thuốc mới → Mẫu · Xem thử chọn và xác nhận thuốc. Test tự động dùng fixture/harness tương ứng, không ảnh OCR hoặc dữ liệu người bệnh thật.</t>
        </is>
      </c>
      <c r="D54" s="8" t="inlineStr">
        <is>
          <t>1. Trong harness chặn mọi HttpClient ngoài dự kiến; gắn spy lưu.
2. Đi hết bốn preset, gồm no-result → tìm tay → confirm.
3. Mở Thiếu thông tin và hủy.</t>
        </is>
      </c>
      <c r="E54" s="8" t="inlineStr">
        <is>
          <t>OCR/search × có/rỗng; fixture tổng hợp</t>
        </is>
      </c>
      <c r="F54" s="8" t="inlineStr">
        <is>
          <t>Không HTTP/lưu; spy add=0; kết quả chỉ ở demo; không ảnh OCR hay dữ liệu người bệnh.</t>
        </is>
      </c>
      <c r="G54" s="8" t="inlineStr">
        <is>
          <t>Đạt assertion four presets run offline; manual search and result stay in demo; chạy 2026-10-27; evidence/test-medication.log.</t>
        </is>
      </c>
      <c r="H54" s="7" t="inlineStr">
        <is>
          <t>Pass</t>
        </is>
      </c>
      <c r="I54" s="8" t="inlineStr">
        <is>
          <t>Task 4.16: AC1, AC5, AC6, AC9 · Decision Table Kết quả tìm kiếm (R1,R2); đoán lỗi side effect · four presets run offline; manual search and result stay in demo · evidence/test-medication.log</t>
        </is>
      </c>
    </row>
    <row r="55" ht="107" customHeight="1">
      <c r="A55" s="7" t="inlineStr">
        <is>
          <t>TC-MEDPICK-47</t>
        </is>
      </c>
      <c r="B55" s="7" t="inlineStr">
        <is>
          <t>Chặn route demo khi không có preview</t>
        </is>
      </c>
      <c r="C55" s="8" t="inlineStr">
        <is>
          <t>Bản debug preview DrugTime; mở Thêm thuốc mới → Mẫu · Xem thử chọn và xác nhận thuốc. Test tự động dùng fixture/harness tương ứng, không ảnh OCR hoặc dữ liệu người bệnh thật.</t>
        </is>
      </c>
      <c r="D55" s="8" t="inlineStr">
        <is>
          <t>1. Trong harness gọi /medications/selection-demo lần lượt preview=true và false.
2. Quan sát màn kết quả.</t>
        </is>
      </c>
      <c r="E55" s="8" t="inlineStr">
        <is>
          <t>Debug, preview=true/false</t>
        </is>
      </c>
      <c r="F55" s="8" t="inlineStr">
        <is>
          <t>True cho demo; false hiện Bản xem thử không khả dụng; gate còn yêu cầu kDebugMode (chưa chạy binary release).</t>
        </is>
      </c>
      <c r="G55" s="8" t="inlineStr">
        <is>
          <t>Đạt assertion demo route requires preview and debug; chạy 2026-10-27; evidence/test-medication.log.</t>
        </is>
      </c>
      <c r="H55" s="7" t="inlineStr">
        <is>
          <t>Pass</t>
        </is>
      </c>
      <c r="I55" s="8" t="inlineStr">
        <is>
          <t>Task 4.16: AC9 · Bảng quyết định preview true/false · demo route requires preview and debug · evidence/test-medication.log</t>
        </is>
      </c>
    </row>
    <row r="56" ht="107" customHeight="1">
      <c r="A56" s="7" t="inlineStr">
        <is>
          <t>TC-MEDPICK-48</t>
        </is>
      </c>
      <c r="B56" s="7" t="inlineStr">
        <is>
          <t>Giữ nguyên thuốc và thông tin sử dụng khi hủy</t>
        </is>
      </c>
      <c r="C56" s="8" t="inlineStr">
        <is>
          <t>Bản debug preview DrugTime; mở Thêm thuốc mới → Mẫu · Xem thử chọn và xác nhận thuốc. Test tự động dùng fixture/harness tương ứng, không ảnh OCR hoặc dữ liệu người bệnh thật.</t>
        </is>
      </c>
      <c r="D56" s="8" t="inlineStr">
        <is>
          <t>1. Chọn và xác nhận Amlodipin; tăng liều 2, tần suất 3 lần/ngày.
2. Mở sheet, chọn Losartan nhưng Back.
3. Mở lại và xác nhận Losartan; kiểm form.</t>
        </is>
      </c>
      <c r="E56" s="8" t="inlineStr">
        <is>
          <t>amlodipin-5 → tạm losartan-50 → hủy → xác nhận</t>
        </is>
      </c>
      <c r="F56" s="8" t="inlineStr">
        <is>
          <t>Hủy vẫn Amlodipin; chỉ confirm mới đổi Losartan; liều/giờ/tần suất giữ đúng.</t>
        </is>
      </c>
      <c r="G56" s="8" t="inlineStr">
        <is>
          <t>Đạt assertion 3.05: hủy/chọn lại giữ dữ liệu sử dụng, chưa tự lưu và đúng catalog id; chạy 2026-10-27; evidence/test-medication.log.</t>
        </is>
      </c>
      <c r="H56" s="7" t="inlineStr">
        <is>
          <t>Pass</t>
        </is>
      </c>
      <c r="I56" s="8" t="inlineStr">
        <is>
          <t>Task 4.16: AC4, AC9 · Chuyển trạng thái form → chọn tạm → hủy · 3.05: hủy/chọn lại giữ dữ liệu sử dụng, chưa tự lưu và đúng catalog id · evidence/test-medication.log</t>
        </is>
      </c>
    </row>
    <row r="57" ht="123.5" customHeight="1">
      <c r="A57" s="7" t="inlineStr">
        <is>
          <t>TC-MEDPICK-49</t>
        </is>
      </c>
      <c r="B57" s="7" t="inlineStr">
        <is>
          <t>Giữ bước Lưu và validation tại form</t>
        </is>
      </c>
      <c r="C57" s="8" t="inlineStr">
        <is>
          <t>Bản debug preview DrugTime; mở Thêm thuốc mới → Mẫu · Xem thử chọn và xác nhận thuốc. Test tự động dùng fixture/harness tương ứng, không ảnh OCR hoặc dữ liệu người bệnh thật.</t>
        </is>
      </c>
      <c r="D57" s="8" t="inlineStr">
        <is>
          <t>1. Chọn thuốc, xem lại, confirm; kiểm spy add=0.
2. Thử lưu khi chưa chọn hoặc thiếu giờ theo test form.
3. Chỉ sau nút Lưu hợp lệ kiểm payload.</t>
        </is>
      </c>
      <c r="E57" s="8" t="inlineStr">
        <is>
          <t>catalog id đúng; liều 2; 3 lần/ngày</t>
        </is>
      </c>
      <c r="F57" s="8" t="inlineStr">
        <is>
          <t>Confirm không lưu thuốc/lịch; form vẫn kiểm liều/giờ; add chỉ ở Lưu, không đổi endpoint.</t>
        </is>
      </c>
      <c r="G57" s="8" t="inlineStr">
        <is>
          <t>Đạt assertion medication_screens_test.dart: bắt chọn thuốc trước khi lưu; hủy/chọn lại giữ dữ liệu sử dụng; chạy 2026-10-27; evidence/test-medication.log.</t>
        </is>
      </c>
      <c r="H57" s="7" t="inlineStr">
        <is>
          <t>Pass</t>
        </is>
      </c>
      <c r="I57" s="8" t="inlineStr">
        <is>
          <t>Task 4.16: AC3, AC9 · Chuyển trạng thái selected → confirmed → save · medication_screens_test.dart: bắt chọn thuốc trước khi lưu; hủy/chọn lại giữ dữ liệu sử dụng · evidence/test-medication.log</t>
        </is>
      </c>
    </row>
    <row r="58" ht="123.5" customHeight="1">
      <c r="A58" s="7" t="inlineStr">
        <is>
          <t>TC-MEDPICK-50</t>
        </is>
      </c>
      <c r="B58" s="7" t="inlineStr">
        <is>
          <t>Đi hết bốn preset trên Android thật</t>
        </is>
      </c>
      <c r="C58" s="8" t="inlineStr">
        <is>
          <t>Bản debug preview DrugTime; mở Thêm thuốc mới → Mẫu · Xem thử chọn và xác nhận thuốc. Test tự động dùng fixture/harness tương ứng, không ảnh OCR hoặc dữ liệu người bệnh thật.</t>
        </is>
      </c>
      <c r="D58" s="8" t="inlineStr">
        <is>
          <t>1. Kết nối LM G710; chạy scratch/selection_device_test.dart bằng Flutter drive.
2. Chạy OCR/search có/rỗng, chọn 500→250 mg, confirm.
3. Kiểm no-result→gõ lại, Back/Hủy và thiếu thông tin.</t>
        </is>
      </c>
      <c r="E58" s="8" t="inlineStr">
        <is>
          <t>Android 13, font 1.0, bàn phím thật</t>
        </is>
      </c>
      <c r="F58" s="8" t="inlineStr">
        <is>
          <t>Mọi preset trả demo-250; bàn phím inset &gt;0; CTA ở trên bàn phím; Back/Hủy không confirm.</t>
        </is>
      </c>
      <c r="G58" s="8" t="inlineStr">
        <is>
          <t>Chạy Android 13 LM G710 thật ngày 2026-10-27: 4 preset, đổi 500→250 mg, tìm tay, bàn phím thật, Back/Hủy, metadata thiếu và dòng 29 đều đạt; evidence/test-android-normal-v5.log. Đây là tự động trên thiết bị; TC-52 vẫn cần người kiểm.</t>
        </is>
      </c>
      <c r="H58" s="7" t="inlineStr">
        <is>
          <t>Pass</t>
        </is>
      </c>
      <c r="I58" s="8" t="inlineStr">
        <is>
          <t>Task 4.16: AC10, AC11 · Thiết bị thật; tự động, chưa thay đánh giá cảm nhận bằng tay · 4.16 Android: four presets, keyboard, Back, missing and long list · evidence/test-android-normal-v5.log</t>
        </is>
      </c>
    </row>
    <row r="59" ht="189.5" customHeight="1">
      <c r="A59" s="7" t="inlineStr">
        <is>
          <t>TC-MEDPICK-51</t>
        </is>
      </c>
      <c r="B59" s="7" t="inlineStr">
        <is>
          <t>Đọc vùng xem lại ở màn nhỏ, chữ lớn khi bàn phím mở</t>
        </is>
      </c>
      <c r="C59" s="8" t="inlineStr">
        <is>
          <t>Bản debug preview DrugTime; mở Thêm thuốc mới → Mẫu · Xem thử chọn và xác nhận thuốc. Test tự động dùng fixture/harness tương ứng, không ảnh OCR hoặc dữ liệu người bệnh thật.</t>
        </is>
      </c>
      <c r="D59" s="8" t="inlineStr">
        <is>
          <t>1. Chạy harness trên LM G710, viewport 360×616 dp và font hệ thống 1.5.
2. Mở OCR · Không có kết quả → Tìm kiếm thủ công; nhập no-match rồi tìm lại Paracetamol, giữ bàn phím thật mở.
3. Cuộn và chạm thuốc 500 mg; kiểm vùng Thông tin thuốc đã chọn và đọc từng dòng metadata trước xác nhận.
4. Đo viewport so với một dòng chữ; nếu đọc được thì tiếp tục đổi/xác nhận và danh sách dài; khôi phục cấu hình trong finally.</t>
        </is>
      </c>
      <c r="E59" s="8" t="inlineStr">
        <is>
          <t>LM G710 Android 13; wm 720×1280, density 320, font 1.5</t>
        </is>
      </c>
      <c r="F59" s="8" t="inlineStr">
        <is>
          <t>Vùng xem lại cuộn và đọc được trọn ít nhất một dòng metadata (35 dp ở cấu hình này); tên/hàm lượng lựa chọn kiểm tra được trước xác nhận, CTA ở trên bàn phím. Tiếp tục đổi/xác nhận đúng thuốc và danh sách dài; khôi phục cấu hình.</t>
        </is>
      </c>
      <c r="G59" s="8" t="inlineStr">
        <is>
          <t>Android 13 LM G710: viewport 360×616 dp, font 1.5, keyboard 325.5 dp; sau tìm Paracetamol và chạm demo-500, confirm bật nhưng danh sách/vùng xem lại chỉ khoảng 21.3 dp, không đọc được trọn dòng metadata. Regression kiểm chiều cao viewport so với một dòng chữ thất bại. Normal font1.0 đạt. Chưa sửa sản phẩm.</t>
        </is>
      </c>
      <c r="H59" s="7" t="inlineStr">
        <is>
          <t>Fail</t>
        </is>
      </c>
      <c r="I59" s="8" t="inlineStr">
        <is>
          <t>Task 4.16: AC10, AC11 · BVA viewport/chữ/bàn phím thật · REGRESSION AC10/AC11 · evidence/test-android-large-regression-v2.log · BUG-MEDPICK-51 · Lỗi đã biết được người dùng chấp nhận, hoãn sửa (2026-10-28)</t>
        </is>
      </c>
    </row>
    <row r="60" ht="189.5" customHeight="1">
      <c r="A60" s="7" t="inlineStr">
        <is>
          <t>TC-MEDPICK-52</t>
        </is>
      </c>
      <c r="B60" s="7" t="inlineStr">
        <is>
          <t>Đánh giá tiếng Việt, chạm/cuộn và TalkBack bằng tay</t>
        </is>
      </c>
      <c r="C60" s="8" t="inlineStr">
        <is>
          <t>Bản debug preview DrugTime; mở Thêm thuốc mới → Mẫu · Xem thử chọn và xác nhận thuốc. Test tự động dùng fixture/harness tương ứng, không ảnh OCR hoặc dữ liệu người bệnh thật.</t>
        </is>
      </c>
      <c r="D60" s="8" t="inlineStr">
        <is>
          <t>1. Người kiểm mở app debug preview trên Android.
2. Đi hai nguồn/no-result→tìm lại, Back/Hủy; nhận xét phân biệt chọn với xác nhận.
3. Kiểm vùng chạm, cuộn, bàn phím và đọc TalkBack nếu sẵn có; ghi phần chưa kiểm.</t>
        </is>
      </c>
      <c r="E60" s="8" t="inlineStr">
        <is>
          <t>Thiết bị thật; bốn preset, chữ lớn, danh sách dài</t>
        </is>
      </c>
      <c r="F60" s="8" t="inlineStr">
        <is>
          <t>Câu chữ dễ hiểu, điều khiển truy cập được; ghi rõ kết quả TalkBack và cảm nhận thực tế.</t>
        </is>
      </c>
      <c r="G60" s="8" t="inlineStr">
        <is>
          <t>2026-10-28: Người dùng kiểm trên LM G710 và xác nhận thao tác đạt; sau đó bổ sung nguyên văn: “talkback hoạt động bình thường”. TC-52 Pass gồm câu chữ/chọn/đổi/xem lại/xác nhận, hai nguồn/no-result→tìm lại, Back/Hủy, chạm/cuộn/bàn phím và TalkBack theo xác nhận người kiểm. Agent ghi nhận kết quả người dùng, không tự nhận đã thao tác TalkBack. Không đo riêng cấu hình màn/font trong lượt kiểm tay; không thay thế regression TC-28/51.</t>
        </is>
      </c>
      <c r="H60" s="7" t="inlineStr">
        <is>
          <t>Pass</t>
        </is>
      </c>
      <c r="I60" s="8" t="inlineStr">
        <is>
          <t>Task 4.16: AC11 · manual T21/T22 · Người dùng xác nhận thao tác và TalkBack đạt ngày 2026-10-28 · evidence/test-manual-selection.log</t>
        </is>
      </c>
    </row>
    <row r="61"/>
    <row r="62"/>
    <row r="63">
      <c r="G63" s="12" t="inlineStr">
        <is>
          <t>Pass</t>
        </is>
      </c>
      <c r="H63" s="13">
        <f>COUNTIF(H9:H60,"Pass")</f>
        <v/>
      </c>
    </row>
    <row r="64">
      <c r="G64" s="12" t="inlineStr">
        <is>
          <t>Fail</t>
        </is>
      </c>
      <c r="H64" s="13">
        <f>COUNTIF(H9:H60,"Fail")</f>
        <v/>
      </c>
    </row>
    <row r="65">
      <c r="G65" s="12" t="inlineStr">
        <is>
          <t>Pending</t>
        </is>
      </c>
      <c r="H65" s="13">
        <f>COUNTIF(H9:H60,"Pending")</f>
        <v/>
      </c>
    </row>
    <row r="66">
      <c r="G66" s="12" t="inlineStr">
        <is>
          <t>Total</t>
        </is>
      </c>
      <c r="H66" s="13">
        <f>SUM(H63:H65)</f>
        <v/>
      </c>
    </row>
  </sheetData>
  <autoFilter ref="A8:I60"/>
  <conditionalFormatting sqref="H9:H60">
    <cfRule type="cellIs" priority="1" operator="equal" dxfId="0">
      <formula>"Fail"</formula>
    </cfRule>
  </conditionalFormatting>
  <dataValidations count="1">
    <dataValidation sqref="H9:H60" showDropDown="0" showInputMessage="0" showErrorMessage="0" allowBlank="0" type="list">
      <formula1>"Pass,Fail,Pending"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s>
  <sheetData>
    <row r="1">
      <c r="A1" s="1" t="inlineStr">
        <is>
          <t>Project Name</t>
        </is>
      </c>
      <c r="B1" s="2" t="inlineStr">
        <is>
          <t>DrugTime</t>
        </is>
      </c>
    </row>
    <row r="2">
      <c r="A2" s="1" t="inlineStr">
        <is>
          <t>Module Name</t>
        </is>
      </c>
      <c r="B2" s="2" t="inlineStr">
        <is>
          <t>Hồi quy xác nhận liều (REGDOSE)</t>
        </is>
      </c>
    </row>
    <row r="3">
      <c r="A3" s="1" t="inlineStr">
        <is>
          <t>Created By</t>
        </is>
      </c>
      <c r="B3" s="2" t="inlineStr">
        <is>
          <t>phucnguyenngoc</t>
        </is>
      </c>
    </row>
    <row r="4">
      <c r="A4" s="1" t="inlineStr">
        <is>
          <t>Creation Date</t>
        </is>
      </c>
      <c r="B4" s="21" t="n">
        <v>46308</v>
      </c>
    </row>
    <row r="5">
      <c r="A5" s="1" t="inlineStr">
        <is>
          <t>Reviewed By</t>
        </is>
      </c>
      <c r="B5" s="2" t="inlineStr"/>
    </row>
    <row r="6">
      <c r="A6" s="1" t="inlineStr">
        <is>
          <t>Reviewed Date</t>
        </is>
      </c>
      <c r="B6" s="2" t="n"/>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row>
    <row r="9" ht="156.5" customHeight="1">
      <c r="A9" s="7" t="inlineStr">
        <is>
          <t>TC-REGDOSE-01</t>
        </is>
      </c>
      <c r="B9" s="7" t="inlineStr">
        <is>
          <t>Đối chiếu scheduled_at có giây khi xác nhận liều</t>
        </is>
      </c>
      <c r="C9" s="8" t="inlineStr">
        <is>
          <t>Supabase PostgreSQL local đã reset và migration hiện hành; fixture tạo patient/schedule/consent riêng và override identity.current_user cho patient.</t>
        </is>
      </c>
      <c r="D9" s="8" t="inlineStr">
        <is>
          <t>1. Từ backend chạy .venv/Scripts/python.exe -m pytest tests/integration/test_dose_confirmation_api.py::test_post_doses_batch_creates_dose_log_for_authenticated_patient__AC1_AC10_AC18 -q -ra.
2. Fixture POST /doses/batch với danh sách một item ở Test Data.
3. Đối chiếu items[0].scheduled_at với kỳ vọng test hiện có.</t>
        </is>
      </c>
      <c r="E9" s="8" t="inlineStr">
        <is>
          <t>client_uuid: UUID mới; schedule_id: fixture; scheduled_at=2026-10-02T01:00:59.999Z; taken_at=2026-10-02T01:05:59.999Z</t>
        </is>
      </c>
      <c r="F9" s="8" t="inlineStr">
        <is>
          <t>Theo test hiện có: HTTP 200, synced, da_uong và scheduled_at=2026-10-02T01:00:00Z.</t>
        </is>
      </c>
      <c r="G9" s="8" t="inlineStr">
        <is>
          <t>HTTP 200, synced, da_uong; scheduled_at=2026-10-02T01:00:59.999000Z. Fail trong suite DB và lặp lại khi chạy riêng (1 failed trong 1.67s).</t>
        </is>
      </c>
      <c r="H9" s="7" t="inlineStr">
        <is>
          <t>Fail</t>
        </is>
      </c>
      <c r="I9" s="8" t="inlineStr">
        <is>
          <t>Ngoài AC task 3.05; AC1_AC10_AC18 của test backend hiện có · Đoán lỗi độ chính xác thời gian · test_post_doses_batch_creates_dose_log_for_authenticated_patient__AC1_AC10_AC18</t>
        </is>
      </c>
    </row>
    <row r="10"/>
    <row r="11"/>
    <row r="12">
      <c r="G12" s="12" t="inlineStr">
        <is>
          <t>Pass</t>
        </is>
      </c>
      <c r="H12" s="13">
        <f>COUNTIF(H9:H9,"Pass")</f>
        <v/>
      </c>
    </row>
    <row r="13">
      <c r="G13" s="12" t="inlineStr">
        <is>
          <t>Fail</t>
        </is>
      </c>
      <c r="H13" s="13">
        <f>COUNTIF(H9:H9,"Fail")</f>
        <v/>
      </c>
    </row>
    <row r="14">
      <c r="G14" s="12" t="inlineStr">
        <is>
          <t>Pending</t>
        </is>
      </c>
      <c r="H14" s="13">
        <f>COUNTIF(H9:H9,"Pending")</f>
        <v/>
      </c>
    </row>
    <row r="15">
      <c r="G15" s="12" t="inlineStr">
        <is>
          <t>Total</t>
        </is>
      </c>
      <c r="H15" s="13">
        <f>SUM(H12:H14)</f>
        <v/>
      </c>
    </row>
  </sheetData>
  <autoFilter ref="A8:I9"/>
  <conditionalFormatting sqref="H9">
    <cfRule type="cellIs" priority="1" operator="equal" dxfId="0">
      <formula>"Fail"</formula>
    </cfRule>
  </conditionalFormatting>
  <dataValidations count="1">
    <dataValidation sqref="H9" showDropDown="0" showInputMessage="0" showErrorMessage="0" allowBlank="0" type="list">
      <formula1>"Pass,Fail,Pending"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46"/>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Landing page (giao diện mới, iPhone 3D) (LANDING)</t>
        </is>
      </c>
    </row>
    <row r="3">
      <c r="A3" s="1" t="inlineStr">
        <is>
          <t>Created By</t>
        </is>
      </c>
      <c r="B3" s="2" t="inlineStr">
        <is>
          <t>zannguyen</t>
        </is>
      </c>
    </row>
    <row r="4">
      <c r="A4" s="1" t="inlineStr">
        <is>
          <t>Creation Date</t>
        </is>
      </c>
      <c r="B4" s="21" t="n">
        <v>46312</v>
      </c>
    </row>
    <row r="5">
      <c r="A5" s="1" t="inlineStr">
        <is>
          <t>Reviewed By</t>
        </is>
      </c>
      <c r="B5" s="2" t="inlineStr"/>
    </row>
    <row r="6">
      <c r="A6" s="1" t="inlineStr">
        <is>
          <t>Reviewed Date</t>
        </is>
      </c>
      <c r="B6" s="2" t="n"/>
    </row>
    <row r="7">
      <c r="K7" s="4" t="inlineStr">
        <is>
          <t>Equivalence Partitioning</t>
        </is>
      </c>
      <c r="Q7" s="4" t="inlineStr">
        <is>
          <t>Có tải iPhone 3D (shouldLoad3D)?</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07" customHeight="1">
      <c r="A9" s="7" t="inlineStr">
        <is>
          <t>TC-LANDING-01</t>
        </is>
      </c>
      <c r="B9" s="7" t="inlineStr">
        <is>
          <t>Tải iPhone 3D trên desktop sau khi nội dung chính hiển thị</t>
        </is>
      </c>
      <c r="C9" s="8" t="inlineStr">
        <is>
          <t>Bản build production chạy ở http://localhost:3100; trình duyệt 1440×900, prefers-reduced-motion: no-preference</t>
        </is>
      </c>
      <c r="D9" s="8" t="inlineStr">
        <is>
          <t>1. Mở /
2. Đợi hero xong (phone3d--ready)
3. Đọc thời điểm LCP và thời điểm request đầu tiên tới spline.design</t>
        </is>
      </c>
      <c r="E9" s="8" t="inlineStr">
        <is>
          <t>Viewport 1440×900</t>
        </is>
      </c>
      <c r="F9" s="8" t="inlineStr">
        <is>
          <t>Request Spline bắt đầu sau LCP; phần tử LCP là ảnh tĩnh, không phải canvas</t>
        </is>
      </c>
      <c r="G9" s="8" t="inlineStr">
        <is>
          <t>LCP 1208 ms (IMG ảnh điện thoại), request Spline đầu tiên 1278 ms, trạng thái phone3d--ready</t>
        </is>
      </c>
      <c r="H9" s="7" t="inlineStr">
        <is>
          <t>Pass</t>
        </is>
      </c>
      <c r="I9" s="8" t="inlineStr">
        <is>
          <t>AC1 · EP (1,4,9) · Decision Table (R1) · acceptance.mjs · evidence/test-acceptance-gpu.log</t>
        </is>
      </c>
      <c r="K9" s="9" t="inlineStr">
        <is>
          <t>Độ rộng màn hình</t>
        </is>
      </c>
      <c r="L9" s="10" t="inlineStr">
        <is>
          <t>≥ 1024 px (desktop: tải iPhone 3D, pin scroll-story)
768–1023 px (tablet: ảnh tĩnh, thẻ xếp dọc)
&lt; 768 px (mobile: ảnh tĩnh, hàng icon dưới điện thoại)</t>
        </is>
      </c>
      <c r="M9" s="10" t="inlineStr">
        <is>
          <t>1
2
3</t>
        </is>
      </c>
      <c r="N9" s="10" t="inlineStr"/>
      <c r="O9" s="10" t="inlineStr"/>
      <c r="Q9" s="10" t="inlineStr">
        <is>
          <t>Rộng ≥ 1024 px?</t>
        </is>
      </c>
      <c r="R9" s="11" t="inlineStr">
        <is>
          <t>Yes</t>
        </is>
      </c>
      <c r="S9" s="11" t="inlineStr">
        <is>
          <t>No</t>
        </is>
      </c>
      <c r="T9" s="11" t="inlineStr">
        <is>
          <t>Yes</t>
        </is>
      </c>
      <c r="U9" s="11" t="inlineStr">
        <is>
          <t>Yes</t>
        </is>
      </c>
    </row>
    <row r="10" ht="57.5" customHeight="1">
      <c r="A10" s="7" t="inlineStr">
        <is>
          <t>TC-LANDING-02</t>
        </is>
      </c>
      <c r="B10" s="7" t="inlineStr">
        <is>
          <t>Kiểm không nhảy layout khi scene 3D crossfade lên ảnh tĩnh</t>
        </is>
      </c>
      <c r="C10" s="8" t="inlineStr">
        <is>
          <t>Như TC-LANDING-01</t>
        </is>
      </c>
      <c r="D10" s="8" t="inlineStr">
        <is>
          <t>1. Mở /
2. Đợi scene sẵn sàng + 4 s
3. Đọc tổng layout-shift (CLS)</t>
        </is>
      </c>
      <c r="E10" s="8" t="inlineStr">
        <is>
          <t>Viewport 1440×900</t>
        </is>
      </c>
      <c r="F10" s="8" t="inlineStr">
        <is>
          <t>CLS &lt; 0.1</t>
        </is>
      </c>
      <c r="G10" s="8" t="inlineStr">
        <is>
          <t>CLS = 0</t>
        </is>
      </c>
      <c r="H10" s="7" t="inlineStr">
        <is>
          <t>Pass</t>
        </is>
      </c>
      <c r="I10" s="8" t="inlineStr">
        <is>
          <t>AC1 · acceptance.mjs · evidence/test-acceptance-gpu.log</t>
        </is>
      </c>
      <c r="K10" s="9" t="inlineStr">
        <is>
          <t>prefers-reduced-motion</t>
        </is>
      </c>
      <c r="L10" s="10" t="inlineStr">
        <is>
          <t>no-preference (đủ hiệu ứng)
reduce (không animation, nội dung ở trạng thái cuối)</t>
        </is>
      </c>
      <c r="M10" s="10" t="inlineStr">
        <is>
          <t>4
5</t>
        </is>
      </c>
      <c r="N10" s="10" t="inlineStr"/>
      <c r="O10" s="10" t="inlineStr"/>
      <c r="Q10" s="10" t="inlineStr">
        <is>
          <t>prefers-reduced-motion: reduce?</t>
        </is>
      </c>
      <c r="R10" s="11" t="inlineStr">
        <is>
          <t>No</t>
        </is>
      </c>
      <c r="S10" s="11" t="inlineStr">
        <is>
          <t>-</t>
        </is>
      </c>
      <c r="T10" s="11" t="inlineStr">
        <is>
          <t>Yes</t>
        </is>
      </c>
      <c r="U10" s="11" t="inlineStr">
        <is>
          <t>No</t>
        </is>
      </c>
    </row>
    <row r="11" ht="74" customHeight="1">
      <c r="A11" s="7" t="inlineStr">
        <is>
          <t>TC-LANDING-03</t>
        </is>
      </c>
      <c r="B11" s="7" t="inlineStr">
        <is>
          <t>Mở trang trên mobile 375 px</t>
        </is>
      </c>
      <c r="C11" s="8" t="inlineStr">
        <is>
          <t>Bản build production chạy</t>
        </is>
      </c>
      <c r="D11" s="8" t="inlineStr">
        <is>
          <t>1. Đặt viewport 375×812
2. Mở /
3. Đếm request tới spline.design, kiểm cuộn ngang</t>
        </is>
      </c>
      <c r="E11" s="8" t="inlineStr">
        <is>
          <t>Viewport 375×812</t>
        </is>
      </c>
      <c r="F11" s="8" t="inlineStr">
        <is>
          <t>Hero hiện ảnh tĩnh (phone3d--idle), 0 request spline.design, không có thanh cuộn ngang</t>
        </is>
      </c>
      <c r="G11" s="8" t="inlineStr">
        <is>
          <t>phone3d--idle, spline requests: 0, overflowX: false</t>
        </is>
      </c>
      <c r="H11" s="7" t="inlineStr">
        <is>
          <t>Pass</t>
        </is>
      </c>
      <c r="I11" s="8" t="inlineStr">
        <is>
          <t>AC2 · EP (3) · Decision Table (R2) · probe.mjs · evidence/test-probes.log</t>
        </is>
      </c>
      <c r="K11" s="9" t="inlineStr">
        <is>
          <t>Thiết bị trỏ</t>
        </is>
      </c>
      <c r="L11" s="10" t="inlineStr">
        <is>
          <t>Chuột (hover: hover, pointer: fine)
Cảm ứng (hover: none)
Bàn phím</t>
        </is>
      </c>
      <c r="M11" s="10" t="inlineStr">
        <is>
          <t>6
7
8</t>
        </is>
      </c>
      <c r="N11" s="10" t="inlineStr"/>
      <c r="O11" s="10" t="inlineStr"/>
      <c r="Q11" s="10" t="inlineStr">
        <is>
          <t>Data saver bật?</t>
        </is>
      </c>
      <c r="R11" s="11" t="inlineStr">
        <is>
          <t>No</t>
        </is>
      </c>
      <c r="S11" s="11" t="inlineStr">
        <is>
          <t>-</t>
        </is>
      </c>
      <c r="T11" s="11" t="inlineStr">
        <is>
          <t>-</t>
        </is>
      </c>
      <c r="U11" s="11" t="inlineStr">
        <is>
          <t>Yes</t>
        </is>
      </c>
    </row>
    <row r="12" ht="74" customHeight="1">
      <c r="A12" s="7" t="inlineStr">
        <is>
          <t>TC-LANDING-04</t>
        </is>
      </c>
      <c r="B12" s="7" t="inlineStr">
        <is>
          <t>Kiểm biên độ rộng 1023 / 1024 px cho việc tải 3D</t>
        </is>
      </c>
      <c r="C12" s="8" t="inlineStr">
        <is>
          <t>Bộ unit test landing</t>
        </is>
      </c>
      <c r="D12" s="8" t="inlineStr">
        <is>
          <t>1. Chạy npm test trong frontend/landing
2. Xem các ca shouldLoad3D: biên 1023/1024, reduced motion, data saver</t>
        </is>
      </c>
      <c r="E12" s="8" t="inlineStr">
        <is>
          <t>width = 1023 / 1024; reducedMotion = true; saveData = true</t>
        </is>
      </c>
      <c r="F12" s="8" t="inlineStr">
        <is>
          <t>1023 → không tải; 1024 → tải; reduce → không tải; data saver → không tải</t>
        </is>
      </c>
      <c r="G12" s="8" t="inlineStr">
        <is>
          <t>18/18 test pass, gồm các ca biên 1023/1024, reduced motion, data saver</t>
        </is>
      </c>
      <c r="H12" s="7" t="inlineStr">
        <is>
          <t>Pass</t>
        </is>
      </c>
      <c r="I12" s="8" t="inlineStr">
        <is>
          <t>AC1, AC2, AC3 · BVA (max, max+1) · Decision Table (R2, R3, R4) · capabilities.test.ts · evidence/test-static.log</t>
        </is>
      </c>
      <c r="K12" s="9" t="inlineStr">
        <is>
          <t>Tài nguyên Spline</t>
        </is>
      </c>
      <c r="L12" s="10" t="inlineStr">
        <is>
          <t>Tải được</t>
        </is>
      </c>
      <c r="M12" s="10" t="inlineStr">
        <is>
          <t>9</t>
        </is>
      </c>
      <c r="N12" s="10" t="inlineStr">
        <is>
          <t>Bị chặn / lỗi mạng
Quá 12 s chưa sẵn sàng</t>
        </is>
      </c>
      <c r="O12" s="10" t="inlineStr">
        <is>
          <t>10
11</t>
        </is>
      </c>
      <c r="Q12" s="6" t="inlineStr">
        <is>
          <t>Action</t>
        </is>
      </c>
      <c r="R12" s="5" t="inlineStr">
        <is>
          <t>R1</t>
        </is>
      </c>
      <c r="S12" s="5" t="inlineStr">
        <is>
          <t>R2</t>
        </is>
      </c>
      <c r="T12" s="5" t="inlineStr">
        <is>
          <t>R3</t>
        </is>
      </c>
      <c r="U12" s="5" t="inlineStr">
        <is>
          <t>R4</t>
        </is>
      </c>
    </row>
    <row r="13" ht="57.5" customHeight="1">
      <c r="A13" s="7" t="inlineStr">
        <is>
          <t>TC-LANDING-05</t>
        </is>
      </c>
      <c r="B13" s="7" t="inlineStr">
        <is>
          <t>Mở trang trên tablet 768 px</t>
        </is>
      </c>
      <c r="C13" s="8" t="inlineStr">
        <is>
          <t>Bản build production chạy</t>
        </is>
      </c>
      <c r="D13" s="8" t="inlineStr">
        <is>
          <t>1. Đặt viewport 768×1024
2. Mở /
3. Đếm request spline.design, kiểm cuộn ngang</t>
        </is>
      </c>
      <c r="E13" s="8" t="inlineStr">
        <is>
          <t>Viewport 768×1024</t>
        </is>
      </c>
      <c r="F13" s="8" t="inlineStr">
        <is>
          <t>Ảnh tĩnh, 0 request spline.design, không cuộn ngang, scroll-story không pin</t>
        </is>
      </c>
      <c r="G13" s="8" t="inlineStr">
        <is>
          <t>phone3d--idle, spline requests: 0, overflowX: false, story không is-pinned</t>
        </is>
      </c>
      <c r="H13" s="7" t="inlineStr">
        <is>
          <t>Pass</t>
        </is>
      </c>
      <c r="I13" s="8" t="inlineStr">
        <is>
          <t>AC2 · EP (2) · probe.mjs · evidence/test-probes.log</t>
        </is>
      </c>
      <c r="Q13" s="10" t="inlineStr">
        <is>
          <t>Tải Spline sau LCP, crossfade lên ảnh tĩnh</t>
        </is>
      </c>
      <c r="R13" s="11" t="inlineStr">
        <is>
          <t>X</t>
        </is>
      </c>
      <c r="S13" s="11" t="inlineStr"/>
      <c r="T13" s="11" t="inlineStr"/>
      <c r="U13" s="11" t="inlineStr"/>
    </row>
    <row r="14" ht="74" customHeight="1">
      <c r="A14" s="7" t="inlineStr">
        <is>
          <t>TC-LANDING-06</t>
        </is>
      </c>
      <c r="B14" s="7" t="inlineStr">
        <is>
          <t>Duyệt trang khi bật giảm chuyển động</t>
        </is>
      </c>
      <c r="C14" s="8" t="inlineStr">
        <is>
          <t>prefers-reduced-motion: reduce</t>
        </is>
      </c>
      <c r="D14" s="8" t="inlineStr">
        <is>
          <t>1. Mở / ở 1440×900
2. Chụp toàn trang
3. Đếm phần tử data-reveal còn ẩn, kiểm pin và Spline</t>
        </is>
      </c>
      <c r="E14" s="8" t="inlineStr">
        <is>
          <t>prefers-reduced-motion: reduce</t>
        </is>
      </c>
      <c r="F14" s="8" t="inlineStr">
        <is>
          <t>Không pin / scrub / tải 3D; mọi nội dung hiện ở trạng thái cuối</t>
        </is>
      </c>
      <c r="G14" s="8" t="inlineStr">
        <is>
          <t>hiddenReveals 0/23, story không pin, phone3d--idle, 0 request Spline</t>
        </is>
      </c>
      <c r="H14" s="7" t="inlineStr">
        <is>
          <t>Pass</t>
        </is>
      </c>
      <c r="I14" s="8" t="inlineStr">
        <is>
          <t>AC3 · EP (5) · Decision Table (R3) · probe.mjs · evidence/test-probes.log</t>
        </is>
      </c>
      <c r="Q14" s="10" t="inlineStr">
        <is>
          <t>Giữ ảnh tĩnh, không request spline.design</t>
        </is>
      </c>
      <c r="R14" s="11" t="inlineStr"/>
      <c r="S14" s="11" t="inlineStr">
        <is>
          <t>X</t>
        </is>
      </c>
      <c r="T14" s="11" t="inlineStr">
        <is>
          <t>X</t>
        </is>
      </c>
      <c r="U14" s="11" t="inlineStr">
        <is>
          <t>X</t>
        </is>
      </c>
    </row>
    <row r="15" ht="41" customHeight="1">
      <c r="A15" s="7" t="inlineStr">
        <is>
          <t>TC-LANDING-07</t>
        </is>
      </c>
      <c r="B15" s="7" t="inlineStr">
        <is>
          <t>Đếm số từ hiển thị trong main của trang chủ</t>
        </is>
      </c>
      <c r="C15" s="8" t="inlineStr">
        <is>
          <t>Bản build production; mốc 911 từ (giai đoạn plan)</t>
        </is>
      </c>
      <c r="D15" s="8" t="inlineStr">
        <is>
          <t>1. Chạy count_words.py trên .next/server/app/index.html</t>
        </is>
      </c>
      <c r="E15" s="8" t="inlineStr">
        <is>
          <t>Ngưỡng ≤ 774 từ (giảm ≥ 15%)</t>
        </is>
      </c>
      <c r="F15" s="8" t="inlineStr">
        <is>
          <t>≤ 774 từ</t>
        </is>
      </c>
      <c r="G15" s="8" t="inlineStr">
        <is>
          <t>750 từ (giảm 17,7%)</t>
        </is>
      </c>
      <c r="H15" s="7" t="inlineStr">
        <is>
          <t>Pass</t>
        </is>
      </c>
      <c r="I15" s="8" t="inlineStr">
        <is>
          <t>AC4 · BVA (max) · evidence/test-static.log</t>
        </is>
      </c>
    </row>
    <row r="16" ht="74" customHeight="1">
      <c r="A16" s="7" t="inlineStr">
        <is>
          <t>TC-LANDING-08</t>
        </is>
      </c>
      <c r="B16" s="7" t="inlineStr">
        <is>
          <t>Cuộn qua section tính năng trên desktop</t>
        </is>
      </c>
      <c r="C16" s="8" t="inlineStr">
        <is>
          <t>1440×900, no-preference</t>
        </is>
      </c>
      <c r="D16" s="8" t="inlineStr">
        <is>
          <t>1. Cuộn tới #tinh-nang
2. Cuộn tiếp từng bước qua toàn bộ đoạn pin
3. Ghi chương đang hiện và chấm tiến độ ở mỗi bước</t>
        </is>
      </c>
      <c r="E16" s="8" t="inlineStr">
        <is>
          <t>13 điểm cuộn đều trên đoạn pin</t>
        </is>
      </c>
      <c r="F16" s="8" t="inlineStr">
        <is>
          <t>Section được ghim; chương hiện lần lượt 1→4, chấm tiến độ khớp</t>
        </is>
      </c>
      <c r="G16" s="8" t="inlineStr">
        <is>
          <t>chapters [0,1,2,3], dots [0,1,2,3], pinned true</t>
        </is>
      </c>
      <c r="H16" s="7" t="inlineStr">
        <is>
          <t>Pass</t>
        </is>
      </c>
      <c r="I16" s="8" t="inlineStr">
        <is>
          <t>AC5 · acceptance.mjs · evidence/test-acceptance-gpu.log</t>
        </is>
      </c>
    </row>
    <row r="17" ht="57.5" customHeight="1">
      <c r="A17" s="7" t="inlineStr">
        <is>
          <t>TC-LANDING-09</t>
        </is>
      </c>
      <c r="B17" s="7" t="inlineStr">
        <is>
          <t>Kiểm giới hạn chữ của 4 chương tính năng</t>
        </is>
      </c>
      <c r="C17" s="8" t="inlineStr">
        <is>
          <t>Trang chủ đã tải</t>
        </is>
      </c>
      <c r="D17" s="8" t="inlineStr">
        <is>
          <t>1. Đếm từ tiêu đề và mô tả từng chương</t>
        </is>
      </c>
      <c r="E17" s="8" t="inlineStr">
        <is>
          <t>Tiêu đề ≤ 6 từ, mô tả ≤ 20 từ</t>
        </is>
      </c>
      <c r="F17" s="8" t="inlineStr">
        <is>
          <t>Mọi chương trong giới hạn</t>
        </is>
      </c>
      <c r="G17" s="8" t="inlineStr">
        <is>
          <t>Tiêu đề 6/5/5/5 từ, mô tả 12/15/15/16 từ</t>
        </is>
      </c>
      <c r="H17" s="7" t="inlineStr">
        <is>
          <t>Pass</t>
        </is>
      </c>
      <c r="I17" s="8" t="inlineStr">
        <is>
          <t>AC5 · BVA (max) · acceptance.mjs · evidence/test-acceptance-gpu.log</t>
        </is>
      </c>
    </row>
    <row r="18" ht="123.5" customHeight="1">
      <c r="A18" s="7" t="inlineStr">
        <is>
          <t>TC-LANDING-10</t>
        </is>
      </c>
      <c r="B18" s="7" t="inlineStr">
        <is>
          <t>Kiểm nội dung bắt buộc vẫn có trên trang</t>
        </is>
      </c>
      <c r="C18" s="8" t="inlineStr">
        <is>
          <t>Trang chủ đã tải</t>
        </is>
      </c>
      <c r="D18" s="8" t="inlineStr">
        <is>
          <t>1. Kiểm khối 'Lưu ý y khoa bắt buộc', link tel:115
2. Kiểm câu FAQ 'DrugTime có thay bác sĩ không?' trả lời 'Không.'
3. Kiểm 'Dược thư Quốc gia', '5948/QĐ-BYT', 4 FAQ, 2 nút store ở CTA, 3 link pháp lý, 5 anchor</t>
        </is>
      </c>
      <c r="E18" s="8" t="inlineStr">
        <is>
          <t>#tinh-nang, #cach-hoat-dong, #an-toan, #hoi-dap, #tai-app</t>
        </is>
      </c>
      <c r="F18" s="8" t="inlineStr">
        <is>
          <t>Đủ tất cả mục</t>
        </is>
      </c>
      <c r="G18" s="8" t="inlineStr">
        <is>
          <t>Đủ: medicalNote, tel115, notReplaceDoctor, duocThu, qd5948, faqCount 4, storeButtons 2, 3 link pháp lý, 5 anchor</t>
        </is>
      </c>
      <c r="H18" s="7" t="inlineStr">
        <is>
          <t>Pass</t>
        </is>
      </c>
      <c r="I18" s="8" t="inlineStr">
        <is>
          <t>AC6 · acceptance.mjs · evidence/test-acceptance-gpu.log</t>
        </is>
      </c>
    </row>
    <row r="19" ht="57.5" customHeight="1">
      <c r="A19" s="7" t="inlineStr">
        <is>
          <t>TC-LANDING-11</t>
        </is>
      </c>
      <c r="B19" s="7" t="inlineStr">
        <is>
          <t>Bấm link navbar từ trang con /terms</t>
        </is>
      </c>
      <c r="C19" s="8" t="inlineStr">
        <is>
          <t>Đang ở /terms</t>
        </is>
      </c>
      <c r="D19" s="8" t="inlineStr">
        <is>
          <t>1. Bấm 'Cách hoạt động' trên navbar
2. Lặp lại với 'An toàn'; và 'Hỏi đáp' từ /</t>
        </is>
      </c>
      <c r="E19" s="8" t="inlineStr">
        <is>
          <t>/terms → /#cach-hoat-dong, /terms → /#an-toan, / → /#hoi-dap</t>
        </is>
      </c>
      <c r="F19" s="8" t="inlineStr">
        <is>
          <t>Chuyển về trang chủ, section nằm ngay dưới navbar</t>
        </is>
      </c>
      <c r="G19" s="8" t="inlineStr">
        <is>
          <t>URL đúng hash, section top = 96 px ở cả 3 lần</t>
        </is>
      </c>
      <c r="H19" s="7" t="inlineStr">
        <is>
          <t>Pass</t>
        </is>
      </c>
      <c r="I19" s="8" t="inlineStr">
        <is>
          <t>AC6 · acceptance.mjs · evidence/test-acceptance-gpu.log</t>
        </is>
      </c>
    </row>
    <row r="20" ht="57.5" customHeight="1">
      <c r="A20" s="7" t="inlineStr">
        <is>
          <t>TC-LANDING-12</t>
        </is>
      </c>
      <c r="B20" s="7" t="inlineStr">
        <is>
          <t>Chấm Lighthouse Accessibility desktop và mobile</t>
        </is>
      </c>
      <c r="C20" s="8" t="inlineStr">
        <is>
          <t>Bản build production; Lighthouse 12; --force-prefers-no-reduced-motion</t>
        </is>
      </c>
      <c r="D20" s="8" t="inlineStr">
        <is>
          <t>1. Chạy lighthouse mobile (mặc định)
2. Chạy lighthouse --preset=desktop</t>
        </is>
      </c>
      <c r="E20" s="8" t="inlineStr">
        <is>
          <t>Ngưỡng ≥ 95</t>
        </is>
      </c>
      <c r="F20" s="8" t="inlineStr">
        <is>
          <t>Accessibility ≥ 95 ở cả hai</t>
        </is>
      </c>
      <c r="G20" s="8" t="inlineStr">
        <is>
          <t>Mobile 100 (5 lần), desktop 100</t>
        </is>
      </c>
      <c r="H20" s="7" t="inlineStr">
        <is>
          <t>Pass</t>
        </is>
      </c>
      <c r="I20" s="8" t="inlineStr">
        <is>
          <t>AC7 · evidence/test-lighthouse-summary.log</t>
        </is>
      </c>
    </row>
    <row r="21" ht="156.5" customHeight="1">
      <c r="A21" s="7" t="inlineStr">
        <is>
          <t>TC-LANDING-13</t>
        </is>
      </c>
      <c r="B21" s="7" t="inlineStr">
        <is>
          <t>Dùng Tab đi qua toàn bộ phần tử tương tác của trang chủ</t>
        </is>
      </c>
      <c r="C21" s="8" t="inlineStr">
        <is>
          <t>1440×900, no-preference, chưa cuộn trang</t>
        </is>
      </c>
      <c r="D21" s="8" t="inlineStr">
        <is>
          <t>1. Nhấn Tab 40 lần từ đầu trang
2. Ghi phần tử nhận focus
3. Kiểm cây truy cập trước khi cuộn</t>
        </is>
      </c>
      <c r="E21" s="8" t="inlineStr">
        <is>
          <t>Bàn phím</t>
        </is>
      </c>
      <c r="F21" s="8" t="inlineStr">
        <is>
          <t>Tab tới được mọi nút / link, gồm 5 thẻ tiện ích, 4 câu FAQ và link 'Cấp cứu 115'; nội dung có trong cây truy cập</t>
        </is>
      </c>
      <c r="G21" s="8" t="inlineStr">
        <is>
          <t>Tab lần lượt qua 5 thẻ tiện ích (17–21), link Cấp cứu 115 (22), thẻ liên hệ, 4 câu FAQ (24–27); 0 lần focus vào iframe/canvas. Trước khi cuộn: các khối có visibility: visible, opacity 0; cây truy cập có "Cấp cứu 115", "Lưu ý y khoa bắt buộc", câu FAQ 1. Focus link 115 → khối lưu ý opacity 0 → 1 (1440 và 390 px). Vòng 1 Fail (BUG-LANDING-13), đã sửa ở implement P22.</t>
        </is>
      </c>
      <c r="H21" s="7" t="inlineStr">
        <is>
          <t>Pass</t>
        </is>
      </c>
      <c r="I21" s="8" t="inlineStr">
        <is>
          <t>AC7 · Đoán lỗi (bàn phím, trình đọc màn hình) · taborder.mjs, hidden-a11y.mjs, focus-reveal.mjs · evidence/test-taborder.log, evidence/test-hidden-a11y.log</t>
        </is>
      </c>
    </row>
    <row r="22" ht="74" customHeight="1">
      <c r="A22" s="7" t="inlineStr">
        <is>
          <t>TC-LANDING-14</t>
        </is>
      </c>
      <c r="B22" s="7" t="inlineStr">
        <is>
          <t>Kiểm tương phản chữ trên trang</t>
        </is>
      </c>
      <c r="C22" s="8" t="inlineStr">
        <is>
          <t>Lighthouse accessibility</t>
        </is>
      </c>
      <c r="D22" s="8" t="inlineStr">
        <is>
          <t>1. Đọc audit color-contrast</t>
        </is>
      </c>
      <c r="E22" s="8" t="inlineStr">
        <is>
          <t>Ngưỡng 4.5:1</t>
        </is>
      </c>
      <c r="F22" s="8" t="inlineStr">
        <is>
          <t>Không phần tử nào dưới 4.5:1</t>
        </is>
      </c>
      <c r="G22" s="8" t="inlineStr">
        <is>
          <t>Lighthouse không còn audit color-contrast lỗi (mobile 5 lần, desktop); nút mock dùng --color-safe-strong. Vòng 1 Fail 3,29:1 (BUG-LANDING-14), đã sửa.</t>
        </is>
      </c>
      <c r="H22" s="7" t="inlineStr">
        <is>
          <t>Pass</t>
        </is>
      </c>
      <c r="I22" s="8" t="inlineStr">
        <is>
          <t>AC7 · evidence/test-lighthouse-summary.log</t>
        </is>
      </c>
    </row>
    <row r="23" ht="74" customHeight="1">
      <c r="A23" s="7" t="inlineStr">
        <is>
          <t>TC-LANDING-15</t>
        </is>
      </c>
      <c r="B23" s="7" t="inlineStr">
        <is>
          <t>Kiểm tên truy cập của nút tải app khớp chữ hiển thị</t>
        </is>
      </c>
      <c r="C23" s="8" t="inlineStr">
        <is>
          <t>Lighthouse accessibility</t>
        </is>
      </c>
      <c r="D23" s="8" t="inlineStr">
        <is>
          <t>1. Đọc audit label-content-name-mismatch</t>
        </is>
      </c>
      <c r="E23" s="8" t="inlineStr">
        <is>
          <t>4 nút App Store / Google Play (hero + CTA)</t>
        </is>
      </c>
      <c r="F23" s="8" t="inlineStr">
        <is>
          <t>Tên truy cập chứa chữ hiển thị</t>
        </is>
      </c>
      <c r="G23" s="8" t="inlineStr">
        <is>
          <t>Lighthouse không còn audit label-content-name-mismatch; nút store không có aria-label, tên truy cập = chữ hiển thị. Vòng 1 Fail (BUG-LANDING-15), đã sửa.</t>
        </is>
      </c>
      <c r="H23" s="7" t="inlineStr">
        <is>
          <t>Pass</t>
        </is>
      </c>
      <c r="I23" s="8" t="inlineStr">
        <is>
          <t>AC7 · WCAG 2.5.3 · evidence/test-lighthouse-summary.log</t>
        </is>
      </c>
    </row>
    <row r="24" ht="57.5" customHeight="1">
      <c r="A24" s="7" t="inlineStr">
        <is>
          <t>TC-LANDING-16</t>
        </is>
      </c>
      <c r="B24" s="7" t="inlineStr">
        <is>
          <t>Kiểm canvas / iframe của Spline không nhận focus</t>
        </is>
      </c>
      <c r="C24" s="8" t="inlineStr">
        <is>
          <t>1440×900, scene 3D đã sẵn sàng</t>
        </is>
      </c>
      <c r="D24" s="8" t="inlineStr">
        <is>
          <t>1. Nhấn Tab 40 lần
2. Đếm lần focus rơi vào IFRAME hoặc CANVAS, đếm phần tử không có outline</t>
        </is>
      </c>
      <c r="E24" s="8" t="inlineStr">
        <is>
          <t>Bàn phím</t>
        </is>
      </c>
      <c r="F24" s="8" t="inlineStr">
        <is>
          <t>0 lần focus vào iframe/canvas; phần tử được focus có outline ≥ 2 px</t>
        </is>
      </c>
      <c r="G24" s="8" t="inlineStr">
        <is>
          <t>iframe/canvas focused: 0; chỉ 1/40 không outline (BODY khi Tab vòng hết trang)</t>
        </is>
      </c>
      <c r="H24" s="7" t="inlineStr">
        <is>
          <t>Pass</t>
        </is>
      </c>
      <c r="I24" s="8" t="inlineStr">
        <is>
          <t>AC7 · taborder.mjs · evidence/test-taborder.log</t>
        </is>
      </c>
    </row>
    <row r="25" ht="90.5" customHeight="1">
      <c r="A25" s="7" t="inlineStr">
        <is>
          <t>TC-LANDING-17</t>
        </is>
      </c>
      <c r="B25" s="7" t="inlineStr">
        <is>
          <t>Chấm Lighthouse Performance mobile</t>
        </is>
      </c>
      <c r="C25" s="8" t="inlineStr">
        <is>
          <t>Bản build production; Lighthouse 12 mobile (giả lập 4G chậm, CPU chậm)</t>
        </is>
      </c>
      <c r="D25" s="8" t="inlineStr">
        <is>
          <t>1. Chạy lighthouse mobile 5 lần
2. Lấy trung vị điểm Performance</t>
        </is>
      </c>
      <c r="E25" s="8" t="inlineStr">
        <is>
          <t>Ngưỡng ≥ 85</t>
        </is>
      </c>
      <c r="F25" s="8" t="inlineStr">
        <is>
          <t>Performance ≥ 85</t>
        </is>
      </c>
      <c r="G25" s="8" t="inlineStr">
        <is>
          <t>86 / 71 / 92 / 93 / 91, trung vị 91; LCP ≈ 3,0–3,5 s; lần 71 có TBT 917 ms (dao động máy). Vòng 1 Fail trung vị 77 (BUG-LANDING-17), đã sửa: GSAP nạp động, favicon 10 KB.</t>
        </is>
      </c>
      <c r="H25" s="7" t="inlineStr">
        <is>
          <t>Pass</t>
        </is>
      </c>
      <c r="I25" s="8" t="inlineStr">
        <is>
          <t>AC8 · evidence/test-lighthouse-summary.log, evidence/test-lighthouse-mobile-run*.json</t>
        </is>
      </c>
    </row>
    <row r="26" ht="41" customHeight="1">
      <c r="A26" s="7" t="inlineStr">
        <is>
          <t>TC-LANDING-18</t>
        </is>
      </c>
      <c r="B26" s="7" t="inlineStr">
        <is>
          <t>Kiểm CLS và phần tử LCP trên mobile</t>
        </is>
      </c>
      <c r="C26" s="8" t="inlineStr">
        <is>
          <t>Lighthouse mobile</t>
        </is>
      </c>
      <c r="D26" s="8" t="inlineStr">
        <is>
          <t>1. Đọc CLS và largest-contentful-paint-element</t>
        </is>
      </c>
      <c r="E26" s="8" t="inlineStr">
        <is>
          <t>CLS &lt; 0.1</t>
        </is>
      </c>
      <c r="F26" s="8" t="inlineStr">
        <is>
          <t>CLS &lt; 0.1; LCP không phải canvas 3D</t>
        </is>
      </c>
      <c r="G26" s="8" t="inlineStr">
        <is>
          <t>CLS 0.005; LCP = img trong .iphone__screen (5 lần chạy mobile)</t>
        </is>
      </c>
      <c r="H26" s="7" t="inlineStr">
        <is>
          <t>Pass</t>
        </is>
      </c>
      <c r="I26" s="8" t="inlineStr">
        <is>
          <t>AC8 · evidence/test-lighthouse-details.log</t>
        </is>
      </c>
    </row>
    <row r="27" ht="74" customHeight="1">
      <c r="A27" s="7" t="inlineStr">
        <is>
          <t>TC-LANDING-19</t>
        </is>
      </c>
      <c r="B27" s="7" t="inlineStr">
        <is>
          <t>Chạy lint, typecheck, unit test và build</t>
        </is>
      </c>
      <c r="C27" s="8" t="inlineStr">
        <is>
          <t>frontend/landing, nhánh zannguyen/feat-update_frontend_landingpage</t>
        </is>
      </c>
      <c r="D27" s="8" t="inlineStr">
        <is>
          <t>1. npm run lint
2. npm run typecheck
3. npm test
4. npm run build (sau khi xóa .next)</t>
        </is>
      </c>
      <c r="E27" s="8" t="inlineStr">
        <is>
          <t>-</t>
        </is>
      </c>
      <c r="F27" s="8" t="inlineStr">
        <is>
          <t>Cả 4 lệnh exit 0</t>
        </is>
      </c>
      <c r="G27" s="8" t="inlineStr">
        <is>
          <t>lint 0, typecheck 0, vitest 18/18, build sạch 0</t>
        </is>
      </c>
      <c r="H27" s="7" t="inlineStr">
        <is>
          <t>Pass</t>
        </is>
      </c>
      <c r="I27" s="8" t="inlineStr">
        <is>
          <t>AC9 · evidence/test-static.log, evidence/test-build.log</t>
        </is>
      </c>
    </row>
    <row r="28" ht="41" customHeight="1">
      <c r="A28" s="7" t="inlineStr">
        <is>
          <t>TC-LANDING-20</t>
        </is>
      </c>
      <c r="B28" s="7" t="inlineStr">
        <is>
          <t>Quét key / token / secret trong mã nguồn landing</t>
        </is>
      </c>
      <c r="C28" s="8" t="inlineStr">
        <is>
          <t>Mã nguồn landing</t>
        </is>
      </c>
      <c r="D28" s="8" t="inlineStr">
        <is>
          <t>1. grep api key, secret, password, bearer, supabase, token= trong app/, components/, lib/</t>
        </is>
      </c>
      <c r="E28" s="8" t="inlineStr">
        <is>
          <t>-</t>
        </is>
      </c>
      <c r="F28" s="8" t="inlineStr">
        <is>
          <t>Không có kết quả</t>
        </is>
      </c>
      <c r="G28" s="8" t="inlineStr">
        <is>
          <t>no matches</t>
        </is>
      </c>
      <c r="H28" s="7" t="inlineStr">
        <is>
          <t>Pass</t>
        </is>
      </c>
      <c r="I28" s="8" t="inlineStr">
        <is>
          <t>AC9 · evidence/test-static.log</t>
        </is>
      </c>
    </row>
    <row r="29" ht="57.5" customHeight="1">
      <c r="A29" s="7" t="inlineStr">
        <is>
          <t>TC-LANDING-21</t>
        </is>
      </c>
      <c r="B29" s="7" t="inlineStr">
        <is>
          <t>Mở trang khi request tới Spline bị chặn</t>
        </is>
      </c>
      <c r="C29" s="8" t="inlineStr">
        <is>
          <t>1440×900; chặn mọi URL chứa spline.design</t>
        </is>
      </c>
      <c r="D29" s="8" t="inlineStr">
        <is>
          <t>1. Mở /
2. Đợi 6 s
3. Kiểm trạng thái hero và layout</t>
        </is>
      </c>
      <c r="E29" s="8" t="inlineStr">
        <is>
          <t>Network request blocking</t>
        </is>
      </c>
      <c r="F29" s="8" t="inlineStr">
        <is>
          <t>Ảnh tĩnh vẫn hiện, không lỗi trắng, section khác hoạt động</t>
        </is>
      </c>
      <c r="G29" s="8" t="inlineStr">
        <is>
          <t>phone3d--failed, ảnh tĩnh giữ nguyên, story vẫn pin, overflowX false; console chỉ có cảnh báo của trang</t>
        </is>
      </c>
      <c r="H29" s="7" t="inlineStr">
        <is>
          <t>Pass</t>
        </is>
      </c>
      <c r="I29" s="8" t="inlineStr">
        <is>
          <t>AC10 · EP (10) · probe.mjs · evidence/test-probes.log</t>
        </is>
      </c>
    </row>
    <row r="30" ht="74" customHeight="1">
      <c r="A30" s="7" t="inlineStr">
        <is>
          <t>TC-LANDING-22</t>
        </is>
      </c>
      <c r="B30" s="7" t="inlineStr">
        <is>
          <t>Rà màu dùng trong CSS</t>
        </is>
      </c>
      <c r="C30" s="8" t="inlineStr">
        <is>
          <t>Mã nguồn landing</t>
        </is>
      </c>
      <c r="D30" s="8" t="inlineStr">
        <is>
          <t>1. grep mã hex / rgb() trong app/styles, globals.css, components
2. Liệt kê chỗ dùng màu safe / caution / danger</t>
        </is>
      </c>
      <c r="E30" s="8" t="inlineStr">
        <is>
          <t>-</t>
        </is>
      </c>
      <c r="F30" s="8" t="inlineStr">
        <is>
          <t>Không màu rời ngoài tokens.css; màu lâm sàng chỉ dùng đúng nghĩa</t>
        </is>
      </c>
      <c r="G30" s="8" t="inlineStr">
        <is>
          <t>Không màu rời; safe = đã uống, caution = cảnh báo tương tác, danger = lỡ liều / lưu ý y khoa / 115</t>
        </is>
      </c>
      <c r="H30" s="7" t="inlineStr">
        <is>
          <t>Pass</t>
        </is>
      </c>
      <c r="I30" s="8" t="inlineStr">
        <is>
          <t>AC11 · evidence/test-static.log</t>
        </is>
      </c>
    </row>
    <row r="31" ht="57.5" customHeight="1">
      <c r="A31" s="7" t="inlineStr">
        <is>
          <t>TC-LANDING-23</t>
        </is>
      </c>
      <c r="B31" s="7" t="inlineStr">
        <is>
          <t>Rê chuột lên thẻ an toàn</t>
        </is>
      </c>
      <c r="C31" s="8" t="inlineStr">
        <is>
          <t>1440×900, chuột</t>
        </is>
      </c>
      <c r="D31" s="8" t="inlineStr">
        <is>
          <t>1. Cuộn tới #an-toan
2. Rê chuột lên góc phải trên của thẻ đầu tiên</t>
        </is>
      </c>
      <c r="E31" s="8" t="inlineStr">
        <is>
          <t>Chuột</t>
        </is>
      </c>
      <c r="F31" s="8" t="inlineStr">
        <is>
          <t>Spotlight theo con trỏ (--mx/--my, ::before opacity 1) và thẻ nghiêng 3D</t>
        </is>
      </c>
      <c r="G31" s="8" t="inlineStr">
        <is>
          <t>--mx 294px, --rx 3.48deg, --ry 5.40deg, transform matrix3d, spotlight opacity 1</t>
        </is>
      </c>
      <c r="H31" s="7" t="inlineStr">
        <is>
          <t>Pass</t>
        </is>
      </c>
      <c r="I31" s="8" t="inlineStr">
        <is>
          <t>AC12 · EP (6) · acceptance.mjs · evidence/test-acceptance-gpu.log</t>
        </is>
      </c>
    </row>
    <row r="32" ht="41" customHeight="1">
      <c r="A32" s="7" t="inlineStr">
        <is>
          <t>TC-LANDING-24</t>
        </is>
      </c>
      <c r="B32" s="7" t="inlineStr">
        <is>
          <t>Rê chuột lên nút App Store ở hero</t>
        </is>
      </c>
      <c r="C32" s="8" t="inlineStr">
        <is>
          <t>1440×900, chuột</t>
        </is>
      </c>
      <c r="D32" s="8" t="inlineStr">
        <is>
          <t>1. Rê chuột tới góc trên phải nút App Store</t>
        </is>
      </c>
      <c r="E32" s="8" t="inlineStr">
        <is>
          <t>Chuột</t>
        </is>
      </c>
      <c r="F32" s="8" t="inlineStr">
        <is>
          <t>Nút bị hút về phía con trỏ (magnetic) và vệt sáng lướt qua</t>
        </is>
      </c>
      <c r="G32" s="8" t="inlineStr">
        <is>
          <t>transform translate(22.1px, -6.7px); ::after chuyển tới translateX dương (204 px)</t>
        </is>
      </c>
      <c r="H32" s="7" t="inlineStr">
        <is>
          <t>Pass</t>
        </is>
      </c>
      <c r="I32" s="8" t="inlineStr">
        <is>
          <t>AC12 · acceptance.mjs · evidence/test-acceptance-gpu.log</t>
        </is>
      </c>
    </row>
    <row r="33" ht="74" customHeight="1">
      <c r="A33" s="7" t="inlineStr">
        <is>
          <t>TC-LANDING-25</t>
        </is>
      </c>
      <c r="B33" s="7" t="inlineStr">
        <is>
          <t>Mở trang trên thiết bị cảm ứng</t>
        </is>
      </c>
      <c r="C33" s="8" t="inlineStr">
        <is>
          <t>Giả lập iPhone 390×844, hasTouch</t>
        </is>
      </c>
      <c r="D33" s="8" t="inlineStr">
        <is>
          <t>1. Mở /
2. Kiểm class motion-hover và transform của thẻ an toàn
3. Chạm nút App Store</t>
        </is>
      </c>
      <c r="E33" s="8" t="inlineStr">
        <is>
          <t>Cảm ứng</t>
        </is>
      </c>
      <c r="F33" s="8" t="inlineStr">
        <is>
          <t>Không bật hiệu ứng hover; nút vẫn bấm được</t>
        </is>
      </c>
      <c r="G33" s="8" t="inlineStr">
        <is>
          <t>motion-hover false, thẻ transform none</t>
        </is>
      </c>
      <c r="H33" s="7" t="inlineStr">
        <is>
          <t>Pass</t>
        </is>
      </c>
      <c r="I33" s="8" t="inlineStr">
        <is>
          <t>AC12 · EP (7) · acceptance.mjs · evidence/test-acceptance-gpu.log</t>
        </is>
      </c>
    </row>
    <row r="34" ht="57.5" customHeight="1">
      <c r="A34" s="7" t="inlineStr">
        <is>
          <t>TC-LANDING-26</t>
        </is>
      </c>
      <c r="B34" s="7" t="inlineStr">
        <is>
          <t>Cuộn hết trang và đo khung hình</t>
        </is>
      </c>
      <c r="C34" s="8" t="inlineStr">
        <is>
          <t>1440×900, GPU thật (Intel Iris Xe, D3D11), scene 3D sẵn sàng</t>
        </is>
      </c>
      <c r="D34" s="8" t="inlineStr">
        <is>
          <t>1. Cuộn từ đầu tới cuối trang mỗi khung 28 px
2. Đếm requestAnimationFrame và long task</t>
        </is>
      </c>
      <c r="E34" s="8" t="inlineStr">
        <is>
          <t>-</t>
        </is>
      </c>
      <c r="F34" s="8" t="inlineStr">
        <is>
          <t>FPS trung bình ≥ 55; không long task &gt; 100 ms</t>
        </is>
      </c>
      <c r="G34" s="8" t="inlineStr">
        <is>
          <t>59,7 FPS (3157 khung / 52,9 s); 0 long task</t>
        </is>
      </c>
      <c r="H34" s="7" t="inlineStr">
        <is>
          <t>Pass</t>
        </is>
      </c>
      <c r="I34" s="8" t="inlineStr">
        <is>
          <t>AC13 · acceptance.mjs · evidence/test-acceptance-gpu.log</t>
        </is>
      </c>
    </row>
    <row r="35" ht="74" customHeight="1">
      <c r="A35" s="7" t="inlineStr">
        <is>
          <t>TC-LANDING-27</t>
        </is>
      </c>
      <c r="B35" s="7" t="inlineStr">
        <is>
          <t>Kiểm scene 3D dừng vẽ khi khuất màn hình và khi tab ẩn</t>
        </is>
      </c>
      <c r="C35" s="8" t="inlineStr">
        <is>
          <t>1440×900, đếm GPUQueue.submit + WebGL draw</t>
        </is>
      </c>
      <c r="D35" s="8" t="inlineStr">
        <is>
          <t>1. Rê chuột trên điện thoại 2 s, đếm lệnh vẽ
2. Cuộn xuống cuối trang 2 s, đếm
3. Về đầu trang, giả lập tab ẩn (visibilitychange), đếm 2 s</t>
        </is>
      </c>
      <c r="E35" s="8" t="inlineStr">
        <is>
          <t>-</t>
        </is>
      </c>
      <c r="F35" s="8" t="inlineStr">
        <is>
          <t>Có lệnh vẽ khi hiển thị; 0 khi khuất; 0 khi tab ẩn</t>
        </is>
      </c>
      <c r="G35" s="8" t="inlineStr">
        <is>
          <t>visibleDraws 2093, offscreenDraws 0, hiddenDraws 0</t>
        </is>
      </c>
      <c r="H35" s="7" t="inlineStr">
        <is>
          <t>Pass</t>
        </is>
      </c>
      <c r="I35" s="8" t="inlineStr">
        <is>
          <t>AC13 · acceptance.mjs · evidence/test-acceptance-gpu.log</t>
        </is>
      </c>
    </row>
    <row r="36" ht="90.5" customHeight="1">
      <c r="A36" s="7" t="inlineStr">
        <is>
          <t>TC-LANDING-28</t>
        </is>
      </c>
      <c r="B36" s="7" t="inlineStr">
        <is>
          <t>Mở icon tính năng quanh iPhone bằng chuột, bàn phím và chạm</t>
        </is>
      </c>
      <c r="C36" s="8" t="inlineStr">
        <is>
          <t>1440×900 (chuột, bàn phím); 375×812 cảm ứng</t>
        </is>
      </c>
      <c r="D36" s="8" t="inlineStr">
        <is>
          <t>1. Rê chuột lên icon 1, rồi icon 6, rồi ra ngoài
2. Tab tới icon 1, nhấn Escape
3. Ở 375 px chạm icon 3, rồi chạm ngoài</t>
        </is>
      </c>
      <c r="E36" s="8" t="inlineStr">
        <is>
          <t>Chuột / Tab / chạm</t>
        </is>
      </c>
      <c r="F36" s="8" t="inlineStr">
        <is>
          <t>Mỗi lần chỉ một icon mở (aria-expanded=true) và hiện tên + mô tả; rời chuột / Escape / chạm ngoài thì đóng; 375 px không cuộn ngang</t>
        </is>
      </c>
      <c r="G36" s="8" t="inlineStr">
        <is>
          <t>Hover icon 0 → chỉ icon 0 mở (rộng 253 px); hover icon 5 → chỉ icon 5; rời chuột → đóng; Tab → icon 0 mở; Escape → đóng; chạm icon 2 → mở; chạm ngoài → đóng; overflow false</t>
        </is>
      </c>
      <c r="H36" s="7" t="inlineStr">
        <is>
          <t>Pass</t>
        </is>
      </c>
      <c r="I36" s="8" t="inlineStr">
        <is>
          <t>AC14 · EP (6,7,8) · orbit-probe.mjs · evidence/test-probes.log</t>
        </is>
      </c>
    </row>
    <row r="37" ht="41" customHeight="1">
      <c r="A37" s="7" t="inlineStr">
        <is>
          <t>TC-LANDING-29</t>
        </is>
      </c>
      <c r="B37" s="7" t="inlineStr">
        <is>
          <t>Mở icon tính năng khi bật giảm chuyển động</t>
        </is>
      </c>
      <c r="C37" s="8" t="inlineStr">
        <is>
          <t>prefers-reduced-motion: reduce, 1440×900</t>
        </is>
      </c>
      <c r="D37" s="8" t="inlineStr">
        <is>
          <t>1. Rê chuột lên icon 2
2. Đọc animation-name của nút</t>
        </is>
      </c>
      <c r="E37" s="8" t="inlineStr">
        <is>
          <t>reduce</t>
        </is>
      </c>
      <c r="F37" s="8" t="inlineStr">
        <is>
          <t>Icon vẫn mở, không có animation bồng bềnh</t>
        </is>
      </c>
      <c r="G37" s="8" t="inlineStr">
        <is>
          <t>icon 1 aria-expanded true; animation none</t>
        </is>
      </c>
      <c r="H37" s="7" t="inlineStr">
        <is>
          <t>Pass</t>
        </is>
      </c>
      <c r="I37" s="8" t="inlineStr">
        <is>
          <t>AC14, AC3 · orbit-probe.mjs · evidence/test-probes.log</t>
        </is>
      </c>
    </row>
    <row r="38" ht="74" customHeight="1">
      <c r="A38" s="7" t="inlineStr">
        <is>
          <t>TC-LANDING-30</t>
        </is>
      </c>
      <c r="B38" s="7" t="inlineStr">
        <is>
          <t>Đổi thẻ đang mở trong section 'Còn nhiều hơn thế'</t>
        </is>
      </c>
      <c r="C38" s="8" t="inlineStr">
        <is>
          <t>1440×900 chuột; 375 px mobile</t>
        </is>
      </c>
      <c r="D38" s="8" t="inlineStr">
        <is>
          <t>1. Rê chuột lên thẻ thứ 4
2. Ở mobile, kiểm trạng thái 5 thẻ</t>
        </is>
      </c>
      <c r="E38" s="8" t="inlineStr">
        <is>
          <t>5 thẻ: Báo cáo tuân thủ, Gợi ý món ăn hợp thuốc, Theo dõi nhiều người thân, Chế độ đơn giản, Tra cứu thuốc</t>
        </is>
      </c>
      <c r="F38" s="8" t="inlineStr">
        <is>
          <t>Desktop: chỉ thẻ được rê mở; mobile: cả 5 thẻ mở</t>
        </is>
      </c>
      <c r="G38" s="8" t="inlineStr">
        <is>
          <t>Desktop [false,false,false,true,false]; mobile [true,true,true,true,true]</t>
        </is>
      </c>
      <c r="H38" s="7" t="inlineStr">
        <is>
          <t>Pass</t>
        </is>
      </c>
      <c r="I38" s="8" t="inlineStr">
        <is>
          <t>AC15 · orbit-probe.mjs · evidence/test-probes.log</t>
        </is>
      </c>
    </row>
    <row r="39" ht="90.5" customHeight="1">
      <c r="A39" s="7" t="inlineStr">
        <is>
          <t>TC-LANDING-31</t>
        </is>
      </c>
      <c r="B39" s="7" t="inlineStr">
        <is>
          <t>Rà câu chữ icon hero và 5 thẻ mới theo quyết định nghiệp vụ</t>
        </is>
      </c>
      <c r="C39" s="8" t="inlineStr">
        <is>
          <t>Bảng 'Quyết định nghiệp vụ áp dụng' trong 01-requirement</t>
        </is>
      </c>
      <c r="D39" s="8" t="inlineStr">
        <is>
          <t>1. Tìm chữ 'AI' trong FeatureOrbit / MoreFeatures
2. Tìm 'chỉ tham khảo'
3. Tìm con số %
4. Đọc mô tả liên quan người thân</t>
        </is>
      </c>
      <c r="E39" s="8" t="inlineStr">
        <is>
          <t>QD-41, QD-40, QD-42, QD-27/28</t>
        </is>
      </c>
      <c r="F39" s="8" t="inlineStr">
        <is>
          <t>Không 'AI'; có 'chỉ tham khảo'; không con số tuân thủ; người thân được mô tả là xem / nhận báo khi được đồng ý chia sẻ</t>
        </is>
      </c>
      <c r="G39" s="8" t="inlineStr">
        <is>
          <t>Không "AI", có "Chỉ tham khảo" ở cả hai, không %; thẻ: "Xem lịch uống của bố, mẹ khi họ đồng ý chia sẻ."; icon hero: "Báo người nhà khi được chia sẻ". Vòng 1 Fail (BUG-LANDING-31), đã sửa.</t>
        </is>
      </c>
      <c r="H39" s="7" t="inlineStr">
        <is>
          <t>Pass</t>
        </is>
      </c>
      <c r="I39" s="8" t="inlineStr">
        <is>
          <t>AC16 · review nội dung · evidence/test-static.log</t>
        </is>
      </c>
    </row>
    <row r="40" ht="57.5" customHeight="1">
      <c r="A40" s="7" t="inlineStr">
        <is>
          <t>TC-LANDING-32</t>
        </is>
      </c>
      <c r="B40" s="7" t="inlineStr">
        <is>
          <t>Mở trang khi scene Spline treo quá 12 s</t>
        </is>
      </c>
      <c r="C40" s="8" t="inlineStr">
        <is>
          <t>1440×900, no-preference; request scene.splinecode bị giữ 20 s</t>
        </is>
      </c>
      <c r="D40" s="8" t="inlineStr">
        <is>
          <t>1. Mở /
2. Đợi trạng thái phone3d--loading
3. Đợi tới khi hết thời gian chờ</t>
        </is>
      </c>
      <c r="E40" s="8" t="inlineStr">
        <is>
          <t>Độ trễ scene 20 s (ngưỡng 12 s)</t>
        </is>
      </c>
      <c r="F40" s="8" t="inlineStr">
        <is>
          <t>Khoảng 12 s sau khi bắt đầu tải: chuyển phone3d--failed, gỡ canvas, ảnh tĩnh hiện đầy đủ</t>
        </is>
      </c>
      <c r="G40" s="8" t="inlineStr">
        <is>
          <t>failed sau 12 981 ms; canvas đã gỡ; ảnh tĩnh opacity 1</t>
        </is>
      </c>
      <c r="H40" s="7" t="inlineStr">
        <is>
          <t>Pass</t>
        </is>
      </c>
      <c r="I40" s="8" t="inlineStr">
        <is>
          <t>AC10 · EP (11) · BVA (timeout) · timeout.mjs · evidence/test-spline-timeout.log</t>
        </is>
      </c>
    </row>
    <row r="41"/>
    <row r="42"/>
    <row r="43">
      <c r="G43" s="12" t="inlineStr">
        <is>
          <t>Pass</t>
        </is>
      </c>
      <c r="H43" s="13">
        <f>COUNTIF(H9:H40,"Pass")</f>
        <v/>
      </c>
    </row>
    <row r="44">
      <c r="G44" s="12" t="inlineStr">
        <is>
          <t>Fail</t>
        </is>
      </c>
      <c r="H44" s="13">
        <f>COUNTIF(H9:H40,"Fail")</f>
        <v/>
      </c>
    </row>
    <row r="45">
      <c r="G45" s="12" t="inlineStr">
        <is>
          <t>Pending</t>
        </is>
      </c>
      <c r="H45" s="13">
        <f>COUNTIF(H9:H40,"Pending")</f>
        <v/>
      </c>
    </row>
    <row r="46">
      <c r="G46" s="12" t="inlineStr">
        <is>
          <t>Total</t>
        </is>
      </c>
      <c r="H46" s="13">
        <f>SUM(H43:H45)</f>
        <v/>
      </c>
    </row>
  </sheetData>
  <autoFilter ref="A8:I40"/>
  <conditionalFormatting sqref="H9:H40">
    <cfRule type="cellIs" priority="1" operator="equal" dxfId="0">
      <formula>"Fail"</formula>
    </cfRule>
  </conditionalFormatting>
  <dataValidations count="1">
    <dataValidation sqref="H9:H40" showDropDown="0" showInputMessage="0" showErrorMessage="0" allowBlank="0" type="list">
      <formula1>"Pass,Fail,Pending"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75"/>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s>
  <sheetData>
    <row r="1">
      <c r="A1" s="1" t="inlineStr">
        <is>
          <t>Project Name</t>
        </is>
      </c>
      <c r="B1" s="2" t="inlineStr">
        <is>
          <t>DrugTime</t>
        </is>
      </c>
    </row>
    <row r="2">
      <c r="A2" s="1" t="inlineStr">
        <is>
          <t>Module Name</t>
        </is>
      </c>
      <c r="B2" s="2" t="inlineStr">
        <is>
          <t>Gửi yêu cầu liên kết người thân (LINKREQ)</t>
        </is>
      </c>
    </row>
    <row r="3">
      <c r="A3" s="1" t="inlineStr">
        <is>
          <t>Created By</t>
        </is>
      </c>
      <c r="B3" s="2" t="inlineStr">
        <is>
          <t>zannguyen</t>
        </is>
      </c>
    </row>
    <row r="4">
      <c r="A4" s="1" t="inlineStr">
        <is>
          <t>Creation Date</t>
        </is>
      </c>
      <c r="B4" s="21" t="n">
        <v>46314</v>
      </c>
    </row>
    <row r="5">
      <c r="A5" s="1" t="inlineStr">
        <is>
          <t>Reviewed By</t>
        </is>
      </c>
      <c r="B5" s="2" t="inlineStr"/>
    </row>
    <row r="6">
      <c r="A6" s="1" t="inlineStr">
        <is>
          <t>Reviewed Date</t>
        </is>
      </c>
      <c r="B6" s="2" t="n"/>
    </row>
    <row r="7">
      <c r="K7" s="4" t="inlineStr">
        <is>
          <t>Equivalence Partitioning</t>
        </is>
      </c>
      <c r="Q7" s="4" t="inlineStr">
        <is>
          <t>Kết quả POST /family/link-requests (theo thứ tự kiểm)</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c r="W8" s="5" t="inlineStr">
        <is>
          <t>R6</t>
        </is>
      </c>
      <c r="X8" s="5" t="inlineStr">
        <is>
          <t>R7</t>
        </is>
      </c>
      <c r="Y8" s="5" t="inlineStr">
        <is>
          <t>R8</t>
        </is>
      </c>
      <c r="Z8" s="5" t="inlineStr">
        <is>
          <t>R9</t>
        </is>
      </c>
      <c r="AA8" s="5" t="inlineStr">
        <is>
          <t>R10</t>
        </is>
      </c>
      <c r="AB8" s="5" t="inlineStr">
        <is>
          <t>R11</t>
        </is>
      </c>
    </row>
    <row r="9" ht="107" customHeight="1">
      <c r="A9" s="7" t="inlineStr">
        <is>
          <t>TC-LINKREQ-01</t>
        </is>
      </c>
      <c r="B9" s="7" t="inlineStr">
        <is>
          <t>Gửi yêu cầu liên kết bằng mã hợp lệ</t>
        </is>
      </c>
      <c r="C9" s="8" t="inlineStr">
        <is>
          <t>Người bệnh P đã đồng ý family_sharing và lấy mã C qua GET /family/link-code; người thân F (tài khoản cá nhân, không có consent nào) chưa có dòng với P</t>
        </is>
      </c>
      <c r="D9" s="8" t="inlineStr">
        <is>
          <t>1. POST /family/link-requests với phiên của F, body {client_uuid, code}
2. Đọc caregiver_links của cặp (P, F) và link_codes của P
3. Người thân F2 khác gửi cùng mã C</t>
        </is>
      </c>
      <c r="E9" s="8" t="inlineStr">
        <is>
          <t>code = C; client_uuid = UUID mới</t>
        </is>
      </c>
      <c r="F9" s="8" t="inlineStr">
        <is>
          <t>201; body đúng 3 field id, status = "pending", requested_at; không có id, tên, email của P; 1 dòng caregiver_links (P, F, pending, sharing_enabled = false); link_codes của P không đổi; F2 cũng nhận 201</t>
        </is>
      </c>
      <c r="G9" s="8" t="inlineStr">
        <is>
          <t>201, body 3 field, status pending; 1 dòng pending, sharing_enabled false; link_codes không đổi; F2 nhận 201</t>
        </is>
      </c>
      <c r="H9" s="7" t="inlineStr">
        <is>
          <t>Pass</t>
        </is>
      </c>
      <c r="I9" s="8" t="inlineStr">
        <is>
          <t>AC1 · AC34 · QD-04 · QD-34 (b) · EP (1,2,4,6) · Decision Table (R11) · test_creates_pending_without_profile__AC1, test_creates_pending__AC1</t>
        </is>
      </c>
      <c r="K9" s="9" t="inlineStr">
        <is>
          <t>Phiên gọi (header Authorization)</t>
        </is>
      </c>
      <c r="L9" s="10" t="inlineStr">
        <is>
          <t>Phiên mobile của tài khoản cá nhân</t>
        </is>
      </c>
      <c r="M9" s="10" t="inlineStr">
        <is>
          <t>1</t>
        </is>
      </c>
      <c r="N9" s="10" t="inlineStr">
        <is>
          <t>Không có header
Token sai
Phiên của tài khoản admin</t>
        </is>
      </c>
      <c r="O9" s="10" t="inlineStr">
        <is>
          <t>7
8
9</t>
        </is>
      </c>
      <c r="Q9" s="10" t="inlineStr">
        <is>
          <t>Tài khoản admin?</t>
        </is>
      </c>
      <c r="R9" s="11" t="inlineStr">
        <is>
          <t>Yes</t>
        </is>
      </c>
      <c r="S9" s="11" t="inlineStr">
        <is>
          <t>No</t>
        </is>
      </c>
      <c r="T9" s="11" t="inlineStr">
        <is>
          <t>No</t>
        </is>
      </c>
      <c r="U9" s="11" t="inlineStr">
        <is>
          <t>No</t>
        </is>
      </c>
      <c r="V9" s="11" t="inlineStr">
        <is>
          <t>No</t>
        </is>
      </c>
      <c r="W9" s="11" t="inlineStr">
        <is>
          <t>No</t>
        </is>
      </c>
      <c r="X9" s="11" t="inlineStr">
        <is>
          <t>No</t>
        </is>
      </c>
      <c r="Y9" s="11" t="inlineStr">
        <is>
          <t>No</t>
        </is>
      </c>
      <c r="Z9" s="11" t="inlineStr">
        <is>
          <t>No</t>
        </is>
      </c>
      <c r="AA9" s="11" t="inlineStr">
        <is>
          <t>No</t>
        </is>
      </c>
      <c r="AB9" s="11" t="inlineStr">
        <is>
          <t>No</t>
        </is>
      </c>
    </row>
    <row r="10" ht="90.5" customHeight="1">
      <c r="A10" s="7" t="inlineStr">
        <is>
          <t>TC-LINKREQ-02</t>
        </is>
      </c>
      <c r="B10" s="7" t="inlineStr">
        <is>
          <t>Yêu cầu đang chờ không cấp quyền xem dữ liệu sức khỏe</t>
        </is>
      </c>
      <c r="C10" s="8" t="inlineStr">
        <is>
          <t>Người bệnh P đã đồng ý family_sharing và lấy mã C qua GET /family/link-code; P có consent health_data; F vừa gửi yêu cầu (pending)</t>
        </is>
      </c>
      <c r="D10" s="8" t="inlineStr">
        <is>
          <t>1. POST /family/link-requests với phiên của F, body {client_uuid, code}
2. F gọi GET /patients/{P}/schedules
3. Đọc access_logs của P</t>
        </is>
      </c>
      <c r="E10" s="8" t="inlineStr">
        <is>
          <t>patient_id = P</t>
        </is>
      </c>
      <c r="F10" s="8" t="inlineStr">
        <is>
          <t>403 {"detail": "khong_co_quyen"}; access_logs có 1 dòng của F với result = denied</t>
        </is>
      </c>
      <c r="G10" s="8" t="inlineStr">
        <is>
          <t>403 khong_co_quyen; 1 dòng access_logs (F, denied)</t>
        </is>
      </c>
      <c r="H10" s="7" t="inlineStr">
        <is>
          <t>Pass</t>
        </is>
      </c>
      <c r="I10" s="8" t="inlineStr">
        <is>
          <t>AC2 · QD-28 · Kịch bản chất lượng (truy cập chéo khi chưa có liên kết active) · test_pending_link_grants_no_access__AC2</t>
        </is>
      </c>
      <c r="K10" s="9" t="inlineStr">
        <is>
          <t>Mã liên kết (code)</t>
        </is>
      </c>
      <c r="L10" s="10" t="inlineStr">
        <is>
          <t>10 ký tự thuộc A–H J K M N P–Z 2–9
Có khoảng trắng hai đầu hoặc chữ thường, hợp lệ sau chuẩn hóa</t>
        </is>
      </c>
      <c r="M10" s="10" t="inlineStr">
        <is>
          <t>2
3</t>
        </is>
      </c>
      <c r="N10" s="10" t="inlineStr">
        <is>
          <t>Thiếu
Không phải chuỗi
Có O, I, L, 0, 1
9 ký tự
11 ký tự</t>
        </is>
      </c>
      <c r="O10" s="10" t="inlineStr">
        <is>
          <t>10
11
12
13
14</t>
        </is>
      </c>
      <c r="Q10" s="10" t="inlineStr">
        <is>
          <t>client_uuid đã thành công?</t>
        </is>
      </c>
      <c r="R10" s="11" t="inlineStr">
        <is>
          <t>-</t>
        </is>
      </c>
      <c r="S10" s="11" t="inlineStr">
        <is>
          <t>Yes</t>
        </is>
      </c>
      <c r="T10" s="11" t="inlineStr">
        <is>
          <t>No</t>
        </is>
      </c>
      <c r="U10" s="11" t="inlineStr">
        <is>
          <t>No</t>
        </is>
      </c>
      <c r="V10" s="11" t="inlineStr">
        <is>
          <t>No</t>
        </is>
      </c>
      <c r="W10" s="11" t="inlineStr">
        <is>
          <t>No</t>
        </is>
      </c>
      <c r="X10" s="11" t="inlineStr">
        <is>
          <t>No</t>
        </is>
      </c>
      <c r="Y10" s="11" t="inlineStr">
        <is>
          <t>No</t>
        </is>
      </c>
      <c r="Z10" s="11" t="inlineStr">
        <is>
          <t>No</t>
        </is>
      </c>
      <c r="AA10" s="11" t="inlineStr">
        <is>
          <t>No</t>
        </is>
      </c>
      <c r="AB10" s="11" t="inlineStr">
        <is>
          <t>No</t>
        </is>
      </c>
    </row>
    <row r="11" ht="74" customHeight="1">
      <c r="A11" s="7" t="inlineStr">
        <is>
          <t>TC-LINKREQ-03</t>
        </is>
      </c>
      <c r="B11" s="7" t="inlineStr">
        <is>
          <t>Gửi yêu cầu không có header Authorization</t>
        </is>
      </c>
      <c r="C11" s="8" t="inlineStr">
        <is>
          <t>Người bệnh P đã đồng ý family_sharing và lấy mã C qua GET /family/link-code</t>
        </is>
      </c>
      <c r="D11" s="8" t="inlineStr">
        <is>
          <t>1. POST /family/link-requests không có header Authorization
2. Đếm caregiver_links của P và link_request_attempts</t>
        </is>
      </c>
      <c r="E11" s="8" t="inlineStr">
        <is>
          <t>(blank)</t>
        </is>
      </c>
      <c r="F11" s="8" t="inlineStr">
        <is>
          <t>401; không có dòng caregiver_links hay lượt sai nào được tạo</t>
        </is>
      </c>
      <c r="G11" s="8" t="inlineStr">
        <is>
          <t>401; không có dòng mới</t>
        </is>
      </c>
      <c r="H11" s="7" t="inlineStr">
        <is>
          <t>Pass</t>
        </is>
      </c>
      <c r="I11" s="8" t="inlineStr">
        <is>
          <t>AC3 · QD-34 (a) · EP (7) · test_unauthenticated_401__AC3[headers0]</t>
        </is>
      </c>
      <c r="K11" s="9" t="inlineStr">
        <is>
          <t>client_uuid</t>
        </is>
      </c>
      <c r="L11" s="10" t="inlineStr">
        <is>
          <t>UUID mới
UUID của request đã thành công (gửi lại)</t>
        </is>
      </c>
      <c r="M11" s="10" t="inlineStr">
        <is>
          <t>4
5</t>
        </is>
      </c>
      <c r="N11" s="10" t="inlineStr">
        <is>
          <t>Thiếu
Không phải UUID</t>
        </is>
      </c>
      <c r="O11" s="10" t="inlineStr">
        <is>
          <t>15
16</t>
        </is>
      </c>
      <c r="Q11" s="10" t="inlineStr">
        <is>
          <t>Đang bị khóa?</t>
        </is>
      </c>
      <c r="R11" s="11" t="inlineStr">
        <is>
          <t>-</t>
        </is>
      </c>
      <c r="S11" s="11" t="inlineStr">
        <is>
          <t>-</t>
        </is>
      </c>
      <c r="T11" s="11" t="inlineStr">
        <is>
          <t>Yes</t>
        </is>
      </c>
      <c r="U11" s="11" t="inlineStr">
        <is>
          <t>No</t>
        </is>
      </c>
      <c r="V11" s="11" t="inlineStr">
        <is>
          <t>No</t>
        </is>
      </c>
      <c r="W11" s="11" t="inlineStr">
        <is>
          <t>No</t>
        </is>
      </c>
      <c r="X11" s="11" t="inlineStr">
        <is>
          <t>No</t>
        </is>
      </c>
      <c r="Y11" s="11" t="inlineStr">
        <is>
          <t>No</t>
        </is>
      </c>
      <c r="Z11" s="11" t="inlineStr">
        <is>
          <t>No</t>
        </is>
      </c>
      <c r="AA11" s="11" t="inlineStr">
        <is>
          <t>No</t>
        </is>
      </c>
      <c r="AB11" s="11" t="inlineStr">
        <is>
          <t>No</t>
        </is>
      </c>
    </row>
    <row r="12" ht="74" customHeight="1">
      <c r="A12" s="7" t="inlineStr">
        <is>
          <t>TC-LINKREQ-04</t>
        </is>
      </c>
      <c r="B12" s="7" t="inlineStr">
        <is>
          <t>Gửi yêu cầu với token sai</t>
        </is>
      </c>
      <c r="C12" s="8" t="inlineStr">
        <is>
          <t>Người bệnh P đã đồng ý family_sharing và lấy mã C qua GET /family/link-code</t>
        </is>
      </c>
      <c r="D12" s="8" t="inlineStr">
        <is>
          <t>1. POST /family/link-requests với Authorization: Bearer not-a-valid-token</t>
        </is>
      </c>
      <c r="E12" s="8" t="inlineStr">
        <is>
          <t>Bearer not-a-valid-token</t>
        </is>
      </c>
      <c r="F12" s="8" t="inlineStr">
        <is>
          <t>401; không có dòng mới</t>
        </is>
      </c>
      <c r="G12" s="8" t="inlineStr">
        <is>
          <t>401; không có dòng mới</t>
        </is>
      </c>
      <c r="H12" s="7" t="inlineStr">
        <is>
          <t>Pass</t>
        </is>
      </c>
      <c r="I12" s="8" t="inlineStr">
        <is>
          <t>AC3 · EP (8) · test_unauthenticated_401__AC3[headers1]</t>
        </is>
      </c>
      <c r="K12" s="9" t="inlineStr">
        <is>
          <t>Chủ mã</t>
        </is>
      </c>
      <c r="L12" s="10" t="inlineStr">
        <is>
          <t>Người khác, đang đồng ý family_sharing</t>
        </is>
      </c>
      <c r="M12" s="10" t="inlineStr">
        <is>
          <t>6</t>
        </is>
      </c>
      <c r="N12" s="10" t="inlineStr">
        <is>
          <t>Không có (mã không tồn tại)
Chưa đồng ý hoặc đã rút family_sharing
Chính người gọi</t>
        </is>
      </c>
      <c r="O12" s="10" t="inlineStr">
        <is>
          <t>17
18
19</t>
        </is>
      </c>
      <c r="Q12" s="10" t="inlineStr">
        <is>
          <t>Đủ 10 yêu cầu hôm nay?</t>
        </is>
      </c>
      <c r="R12" s="11" t="inlineStr">
        <is>
          <t>-</t>
        </is>
      </c>
      <c r="S12" s="11" t="inlineStr">
        <is>
          <t>-</t>
        </is>
      </c>
      <c r="T12" s="11" t="inlineStr">
        <is>
          <t>-</t>
        </is>
      </c>
      <c r="U12" s="11" t="inlineStr">
        <is>
          <t>Yes</t>
        </is>
      </c>
      <c r="V12" s="11" t="inlineStr">
        <is>
          <t>No</t>
        </is>
      </c>
      <c r="W12" s="11" t="inlineStr">
        <is>
          <t>No</t>
        </is>
      </c>
      <c r="X12" s="11" t="inlineStr">
        <is>
          <t>No</t>
        </is>
      </c>
      <c r="Y12" s="11" t="inlineStr">
        <is>
          <t>No</t>
        </is>
      </c>
      <c r="Z12" s="11" t="inlineStr">
        <is>
          <t>No</t>
        </is>
      </c>
      <c r="AA12" s="11" t="inlineStr">
        <is>
          <t>No</t>
        </is>
      </c>
      <c r="AB12" s="11" t="inlineStr">
        <is>
          <t>No</t>
        </is>
      </c>
    </row>
    <row r="13" ht="74" customHeight="1">
      <c r="A13" s="7" t="inlineStr">
        <is>
          <t>TC-LINKREQ-05</t>
        </is>
      </c>
      <c r="B13" s="7" t="inlineStr">
        <is>
          <t>Tài khoản admin bị từ chối gửi yêu cầu</t>
        </is>
      </c>
      <c r="C13" s="8" t="inlineStr">
        <is>
          <t>Người bệnh P đã đồng ý family_sharing và lấy mã C qua GET /family/link-code; tài khoản admin có phiên admin_web</t>
        </is>
      </c>
      <c r="D13" s="8" t="inlineStr">
        <is>
          <t>1. POST /family/link-requests với phiên admin
2. Đọc caregiver_links và lượt sai của admin</t>
        </is>
      </c>
      <c r="E13" s="8" t="inlineStr">
        <is>
          <t>Phiên admin_web</t>
        </is>
      </c>
      <c r="F13" s="8" t="inlineStr">
        <is>
          <t>403 {"detail": "khong_co_quyen"}; không tạo dòng, không ghi lượt sai</t>
        </is>
      </c>
      <c r="G13" s="8" t="inlineStr">
        <is>
          <t>403 khong_co_quyen; không có dòng nào</t>
        </is>
      </c>
      <c r="H13" s="7" t="inlineStr">
        <is>
          <t>Pass</t>
        </is>
      </c>
      <c r="I13" s="8" t="inlineStr">
        <is>
          <t>AC16 · QD-44 · EP (9) · Decision Table (R1) · test_admin_403__AC16, test_admin_forbidden_before_queries__AC16</t>
        </is>
      </c>
      <c r="K13" s="9" t="inlineStr">
        <is>
          <t>Body</t>
        </is>
      </c>
      <c r="L13" s="10" t="inlineStr"/>
      <c r="M13" s="10" t="inlineStr"/>
      <c r="N13" s="10" t="inlineStr">
        <is>
          <t>Có field lạ (ví dụ patient_user_id)</t>
        </is>
      </c>
      <c r="O13" s="10" t="inlineStr">
        <is>
          <t>20</t>
        </is>
      </c>
      <c r="Q13" s="10" t="inlineStr">
        <is>
          <t>Mã có chủ?</t>
        </is>
      </c>
      <c r="R13" s="11" t="inlineStr">
        <is>
          <t>-</t>
        </is>
      </c>
      <c r="S13" s="11" t="inlineStr">
        <is>
          <t>-</t>
        </is>
      </c>
      <c r="T13" s="11" t="inlineStr">
        <is>
          <t>-</t>
        </is>
      </c>
      <c r="U13" s="11" t="inlineStr">
        <is>
          <t>-</t>
        </is>
      </c>
      <c r="V13" s="11" t="inlineStr">
        <is>
          <t>No</t>
        </is>
      </c>
      <c r="W13" s="11" t="inlineStr">
        <is>
          <t>Yes</t>
        </is>
      </c>
      <c r="X13" s="11" t="inlineStr">
        <is>
          <t>Yes</t>
        </is>
      </c>
      <c r="Y13" s="11" t="inlineStr">
        <is>
          <t>Yes</t>
        </is>
      </c>
      <c r="Z13" s="11" t="inlineStr">
        <is>
          <t>Yes</t>
        </is>
      </c>
      <c r="AA13" s="11" t="inlineStr">
        <is>
          <t>Yes</t>
        </is>
      </c>
      <c r="AB13" s="11" t="inlineStr">
        <is>
          <t>Yes</t>
        </is>
      </c>
    </row>
    <row r="14" ht="74" customHeight="1">
      <c r="A14" s="7" t="inlineStr">
        <is>
          <t>TC-LINKREQ-06</t>
        </is>
      </c>
      <c r="B14" s="7" t="inlineStr">
        <is>
          <t>Gửi mã không thuộc ai</t>
        </is>
      </c>
      <c r="C14" s="8" t="inlineStr">
        <is>
          <t>Người thân F đăng nhập, chưa sai lần nào</t>
        </is>
      </c>
      <c r="D14" s="8" t="inlineStr">
        <is>
          <t>1. POST /family/link-requests với phiên của F, body {client_uuid, code}
2. Đọc link_request_attempts của F</t>
        </is>
      </c>
      <c r="E14" s="8" t="inlineStr">
        <is>
          <t>code = mã ngẫu nhiên đúng định dạng, không có trong link_codes</t>
        </is>
      </c>
      <c r="F14" s="8" t="inlineStr">
        <is>
          <t>404 {"detail": "link_code_not_found"} (body chỉ có detail); 1 dòng lượt sai của F với client_uuid của request; không tạo caregiver_links</t>
        </is>
      </c>
      <c r="G14" s="8" t="inlineStr">
        <is>
          <t>404 link_code_not_found; 1 lượt sai đúng client_uuid; không có dòng liên kết</t>
        </is>
      </c>
      <c r="H14" s="7" t="inlineStr">
        <is>
          <t>Pass</t>
        </is>
      </c>
      <c r="I14" s="8" t="inlineStr">
        <is>
          <t>AC4 · EP (17) · Decision Table (R5) · test_unknown_code_404_counted__AC4</t>
        </is>
      </c>
      <c r="Q14" s="10" t="inlineStr">
        <is>
          <t>Chủ mã là người gọi?</t>
        </is>
      </c>
      <c r="R14" s="11" t="inlineStr">
        <is>
          <t>-</t>
        </is>
      </c>
      <c r="S14" s="11" t="inlineStr">
        <is>
          <t>-</t>
        </is>
      </c>
      <c r="T14" s="11" t="inlineStr">
        <is>
          <t>-</t>
        </is>
      </c>
      <c r="U14" s="11" t="inlineStr">
        <is>
          <t>-</t>
        </is>
      </c>
      <c r="V14" s="11" t="inlineStr">
        <is>
          <t>-</t>
        </is>
      </c>
      <c r="W14" s="11" t="inlineStr">
        <is>
          <t>Yes</t>
        </is>
      </c>
      <c r="X14" s="11" t="inlineStr">
        <is>
          <t>No</t>
        </is>
      </c>
      <c r="Y14" s="11" t="inlineStr">
        <is>
          <t>No</t>
        </is>
      </c>
      <c r="Z14" s="11" t="inlineStr">
        <is>
          <t>No</t>
        </is>
      </c>
      <c r="AA14" s="11" t="inlineStr">
        <is>
          <t>No</t>
        </is>
      </c>
      <c r="AB14" s="11" t="inlineStr">
        <is>
          <t>No</t>
        </is>
      </c>
    </row>
    <row r="15" ht="74" customHeight="1">
      <c r="A15" s="7" t="inlineStr">
        <is>
          <t>TC-LINKREQ-07</t>
        </is>
      </c>
      <c r="B15" s="7" t="inlineStr">
        <is>
          <t>Lượt sai vẫn được lưu dù request trả lỗi</t>
        </is>
      </c>
      <c r="C15" s="8" t="inlineStr">
        <is>
          <t>Người thân F; app cố định giờ lúc T</t>
        </is>
      </c>
      <c r="D15" s="8" t="inlineStr">
        <is>
          <t>1. POST /family/link-requests với phiên của F, body {client_uuid, code} với mã không tồn tại
2. Mở kết nối DB khác, đọc link_request_attempts của F</t>
        </is>
      </c>
      <c r="E15" s="8" t="inlineStr">
        <is>
          <t>T = 12:00 giờ VN hôm nay</t>
        </is>
      </c>
      <c r="F15" s="8" t="inlineStr">
        <is>
          <t>404; kết nối khác thấy đúng 1 dòng (client_uuid, attempted_at = T, account_locked_until = NULL) dù transaction của request đã rollback</t>
        </is>
      </c>
      <c r="G15" s="8" t="inlineStr">
        <is>
          <t>Đúng 1 dòng (client_uuid, T, NULL)</t>
        </is>
      </c>
      <c r="H15" s="7" t="inlineStr">
        <is>
          <t>Pass</t>
        </is>
      </c>
      <c r="I15" s="8" t="inlineStr">
        <is>
          <t>AC12 · Đoán lỗi (rollback) · test_failure_persisted_after_rollback__AC12, test_record_failure_uses_own_unit_of_work__AC12</t>
        </is>
      </c>
      <c r="Q15" s="10" t="inlineStr">
        <is>
          <t>Chủ mã đồng ý family_sharing?</t>
        </is>
      </c>
      <c r="R15" s="11" t="inlineStr">
        <is>
          <t>-</t>
        </is>
      </c>
      <c r="S15" s="11" t="inlineStr">
        <is>
          <t>-</t>
        </is>
      </c>
      <c r="T15" s="11" t="inlineStr">
        <is>
          <t>-</t>
        </is>
      </c>
      <c r="U15" s="11" t="inlineStr">
        <is>
          <t>-</t>
        </is>
      </c>
      <c r="V15" s="11" t="inlineStr">
        <is>
          <t>-</t>
        </is>
      </c>
      <c r="W15" s="11" t="inlineStr">
        <is>
          <t>-</t>
        </is>
      </c>
      <c r="X15" s="11" t="inlineStr">
        <is>
          <t>No</t>
        </is>
      </c>
      <c r="Y15" s="11" t="inlineStr">
        <is>
          <t>Yes</t>
        </is>
      </c>
      <c r="Z15" s="11" t="inlineStr">
        <is>
          <t>Yes</t>
        </is>
      </c>
      <c r="AA15" s="11" t="inlineStr">
        <is>
          <t>Yes</t>
        </is>
      </c>
      <c r="AB15" s="11" t="inlineStr">
        <is>
          <t>Yes</t>
        </is>
      </c>
    </row>
    <row r="16" ht="74" customHeight="1">
      <c r="A16" s="7" t="inlineStr">
        <is>
          <t>TC-LINKREQ-08</t>
        </is>
      </c>
      <c r="B16" s="7" t="inlineStr">
        <is>
          <t>Không gửi được bằng mã của chính mình</t>
        </is>
      </c>
      <c r="C16" s="8" t="inlineStr">
        <is>
          <t>Người bệnh P đã đồng ý family_sharing và lấy mã C qua GET /family/link-code</t>
        </is>
      </c>
      <c r="D16" s="8" t="inlineStr">
        <is>
          <t>1. POST /family/link-requests với phiên của P và mã C của P</t>
        </is>
      </c>
      <c r="E16" s="8" t="inlineStr">
        <is>
          <t>code = C (mã của người gọi)</t>
        </is>
      </c>
      <c r="F16" s="8" t="inlineStr">
        <is>
          <t>422 {"detail": "self_link_not_allowed"}; không tạo dòng, không tính lần sai</t>
        </is>
      </c>
      <c r="G16" s="8" t="inlineStr">
        <is>
          <t>422 self_link_not_allowed; không có dòng nào</t>
        </is>
      </c>
      <c r="H16" s="7" t="inlineStr">
        <is>
          <t>Pass</t>
        </is>
      </c>
      <c r="I16" s="8" t="inlineStr">
        <is>
          <t>AC5 · EP (19) · Decision Table (R6) · test_self_code_422__AC5, test_self_code_422_not_counted__AC5</t>
        </is>
      </c>
      <c r="Q16" s="10" t="inlineStr">
        <is>
          <t>Cặp đang mở?</t>
        </is>
      </c>
      <c r="R16" s="11" t="inlineStr">
        <is>
          <t>-</t>
        </is>
      </c>
      <c r="S16" s="11" t="inlineStr">
        <is>
          <t>-</t>
        </is>
      </c>
      <c r="T16" s="11" t="inlineStr">
        <is>
          <t>-</t>
        </is>
      </c>
      <c r="U16" s="11" t="inlineStr">
        <is>
          <t>-</t>
        </is>
      </c>
      <c r="V16" s="11" t="inlineStr">
        <is>
          <t>-</t>
        </is>
      </c>
      <c r="W16" s="11" t="inlineStr">
        <is>
          <t>-</t>
        </is>
      </c>
      <c r="X16" s="11" t="inlineStr">
        <is>
          <t>-</t>
        </is>
      </c>
      <c r="Y16" s="11" t="inlineStr">
        <is>
          <t>Pending</t>
        </is>
      </c>
      <c r="Z16" s="11" t="inlineStr">
        <is>
          <t>Active</t>
        </is>
      </c>
      <c r="AA16" s="11" t="inlineStr">
        <is>
          <t>No</t>
        </is>
      </c>
      <c r="AB16" s="11" t="inlineStr">
        <is>
          <t>No</t>
        </is>
      </c>
    </row>
    <row r="17" ht="74" customHeight="1">
      <c r="A17" s="7" t="inlineStr">
        <is>
          <t>TC-LINKREQ-09</t>
        </is>
      </c>
      <c r="B17" s="7" t="inlineStr">
        <is>
          <t>Từ chối khi cặp đã có yêu cầu đang chờ</t>
        </is>
      </c>
      <c r="C17" s="8" t="inlineStr">
        <is>
          <t>Người bệnh P đã đồng ý family_sharing và lấy mã C qua GET /family/link-code; cặp (P, F) đã có dòng pending</t>
        </is>
      </c>
      <c r="D17" s="8" t="inlineStr">
        <is>
          <t>1. POST /family/link-requests với phiên của F, body {client_uuid, code}
2. Đọc caregiver_links của cặp và lượt sai của F</t>
        </is>
      </c>
      <c r="E17" s="8" t="inlineStr">
        <is>
          <t>code = C</t>
        </is>
      </c>
      <c r="F17" s="8" t="inlineStr">
        <is>
          <t>409 {"detail": "link_request_pending"}; số dòng của cặp không đổi; không tính lần sai</t>
        </is>
      </c>
      <c r="G17" s="8" t="inlineStr">
        <is>
          <t>409 link_request_pending; dòng không đổi; không có lượt sai</t>
        </is>
      </c>
      <c r="H17" s="7" t="inlineStr">
        <is>
          <t>Pass</t>
        </is>
      </c>
      <c r="I17" s="8" t="inlineStr">
        <is>
          <t>AC6 · QD-34 (f) · Decision Table (R8) · test_open_pair_409__AC6[pending-link_request_pending]</t>
        </is>
      </c>
      <c r="Q17" s="10" t="inlineStr">
        <is>
          <t>Đang bị chặn sau 5 lần từ chối?</t>
        </is>
      </c>
      <c r="R17" s="11" t="inlineStr">
        <is>
          <t>-</t>
        </is>
      </c>
      <c r="S17" s="11" t="inlineStr">
        <is>
          <t>-</t>
        </is>
      </c>
      <c r="T17" s="11" t="inlineStr">
        <is>
          <t>-</t>
        </is>
      </c>
      <c r="U17" s="11" t="inlineStr">
        <is>
          <t>-</t>
        </is>
      </c>
      <c r="V17" s="11" t="inlineStr">
        <is>
          <t>-</t>
        </is>
      </c>
      <c r="W17" s="11" t="inlineStr">
        <is>
          <t>-</t>
        </is>
      </c>
      <c r="X17" s="11" t="inlineStr">
        <is>
          <t>-</t>
        </is>
      </c>
      <c r="Y17" s="11" t="inlineStr">
        <is>
          <t>-</t>
        </is>
      </c>
      <c r="Z17" s="11" t="inlineStr">
        <is>
          <t>-</t>
        </is>
      </c>
      <c r="AA17" s="11" t="inlineStr">
        <is>
          <t>Yes</t>
        </is>
      </c>
      <c r="AB17" s="11" t="inlineStr">
        <is>
          <t>No</t>
        </is>
      </c>
    </row>
    <row r="18" ht="90.5" customHeight="1">
      <c r="A18" s="7" t="inlineStr">
        <is>
          <t>TC-LINKREQ-10</t>
        </is>
      </c>
      <c r="B18" s="7" t="inlineStr">
        <is>
          <t>Từ chối khi cặp đã liên kết (kể cả đã tắt chia sẻ)</t>
        </is>
      </c>
      <c r="C18" s="8" t="inlineStr">
        <is>
          <t>Người bệnh P đã đồng ý family_sharing và lấy mã C qua GET /family/link-code; cặp (P, F) có dòng active, sharing_enabled = false</t>
        </is>
      </c>
      <c r="D18" s="8" t="inlineStr">
        <is>
          <t>1. POST /family/link-requests với phiên của F, body {client_uuid, code}
2. Đọc caregiver_links của cặp</t>
        </is>
      </c>
      <c r="E18" s="8" t="inlineStr">
        <is>
          <t>code = C</t>
        </is>
      </c>
      <c r="F18" s="8" t="inlineStr">
        <is>
          <t>409 {"detail": "already_linked"}; số dòng không đổi; không tính lần sai</t>
        </is>
      </c>
      <c r="G18" s="8" t="inlineStr">
        <is>
          <t>409 already_linked; dòng không đổi; không có lượt sai</t>
        </is>
      </c>
      <c r="H18" s="7" t="inlineStr">
        <is>
          <t>Pass</t>
        </is>
      </c>
      <c r="I18" s="8" t="inlineStr">
        <is>
          <t>AC6 · Decision Table (R9) · test_open_pair_409__AC6[active-already_linked]</t>
        </is>
      </c>
      <c r="Q18" s="6" t="inlineStr">
        <is>
          <t>Action</t>
        </is>
      </c>
      <c r="R18" s="5" t="inlineStr">
        <is>
          <t>R1</t>
        </is>
      </c>
      <c r="S18" s="5" t="inlineStr">
        <is>
          <t>R2</t>
        </is>
      </c>
      <c r="T18" s="5" t="inlineStr">
        <is>
          <t>R3</t>
        </is>
      </c>
      <c r="U18" s="5" t="inlineStr">
        <is>
          <t>R4</t>
        </is>
      </c>
      <c r="V18" s="5" t="inlineStr">
        <is>
          <t>R5</t>
        </is>
      </c>
      <c r="W18" s="5" t="inlineStr">
        <is>
          <t>R6</t>
        </is>
      </c>
      <c r="X18" s="5" t="inlineStr">
        <is>
          <t>R7</t>
        </is>
      </c>
      <c r="Y18" s="5" t="inlineStr">
        <is>
          <t>R8</t>
        </is>
      </c>
      <c r="Z18" s="5" t="inlineStr">
        <is>
          <t>R9</t>
        </is>
      </c>
      <c r="AA18" s="5" t="inlineStr">
        <is>
          <t>R10</t>
        </is>
      </c>
      <c r="AB18" s="5" t="inlineStr">
        <is>
          <t>R11</t>
        </is>
      </c>
    </row>
    <row r="19" ht="107" customHeight="1">
      <c r="A19" s="7" t="inlineStr">
        <is>
          <t>TC-LINKREQ-11</t>
        </is>
      </c>
      <c r="B19" s="7" t="inlineStr">
        <is>
          <t>Gửi được khi đã có yêu cầu hoặc liên kết theo chiều ngược lại</t>
        </is>
      </c>
      <c r="C19" s="8" t="inlineStr">
        <is>
          <t>Người bệnh P đã đồng ý family_sharing và lấy mã C qua GET /family/link-code; F cũng là người bệnh; đã có dòng (patient = F, family = P) pending hoặc active</t>
        </is>
      </c>
      <c r="D19" s="8" t="inlineStr">
        <is>
          <t>1. POST /family/link-requests với phiên của F, body {client_uuid, code}
2. Đọc caregiver_links cả hai chiều</t>
        </is>
      </c>
      <c r="E19" s="8" t="inlineStr">
        <is>
          <t>code = C; chạy với pending và với active</t>
        </is>
      </c>
      <c r="F19" s="8" t="inlineStr">
        <is>
          <t>201; chiều (P, F) có 1 dòng pending; chiều (F, P) giữ nguyên</t>
        </is>
      </c>
      <c r="G19" s="8" t="inlineStr">
        <is>
          <t>201 ở cả hai trường hợp; chiều ngược không đổi</t>
        </is>
      </c>
      <c r="H19" s="7" t="inlineStr">
        <is>
          <t>Pass</t>
        </is>
      </c>
      <c r="I19" s="8" t="inlineStr">
        <is>
          <t>AC7 · QD-44 · test_reverse_direction_201__AC7[pending], [active]</t>
        </is>
      </c>
      <c r="Q19" s="10" t="inlineStr">
        <is>
          <t>403 khong_co_quyen</t>
        </is>
      </c>
      <c r="R19" s="11" t="inlineStr">
        <is>
          <t>X</t>
        </is>
      </c>
      <c r="S19" s="11" t="inlineStr"/>
      <c r="T19" s="11" t="inlineStr"/>
      <c r="U19" s="11" t="inlineStr"/>
      <c r="V19" s="11" t="inlineStr"/>
      <c r="W19" s="11" t="inlineStr"/>
      <c r="X19" s="11" t="inlineStr"/>
      <c r="Y19" s="11" t="inlineStr"/>
      <c r="Z19" s="11" t="inlineStr"/>
      <c r="AA19" s="11" t="inlineStr"/>
      <c r="AB19" s="11" t="inlineStr"/>
    </row>
    <row r="20" ht="107" customHeight="1">
      <c r="A20" s="7" t="inlineStr">
        <is>
          <t>TC-LINKREQ-12</t>
        </is>
      </c>
      <c r="B20" s="7" t="inlineStr">
        <is>
          <t>Gửi lại được ngay sau khi bị từ chối 1 đến 4 lần</t>
        </is>
      </c>
      <c r="C20" s="8" t="inlineStr">
        <is>
          <t>Người bệnh P đã đồng ý family_sharing và lấy mã C qua GET /family/link-code; P đã từ chối F 1 lần (lượt chạy 1) hoặc 4 lần liên tiếp (lượt chạy 2)</t>
        </is>
      </c>
      <c r="D20" s="8" t="inlineStr">
        <is>
          <t>1. POST /family/link-requests với phiên của F, body {client_uuid, code}
2. Đọc caregiver_links của cặp</t>
        </is>
      </c>
      <c r="E20" s="8" t="inlineStr">
        <is>
          <t>Số lần từ chối: 1; 4</t>
        </is>
      </c>
      <c r="F20" s="8" t="inlineStr">
        <is>
          <t>201; thêm 1 dòng pending mới; các dòng rejected cũ giữ nguyên</t>
        </is>
      </c>
      <c r="G20" s="8" t="inlineStr">
        <is>
          <t>201 ở cả hai lượt; dòng rejected cũ không đổi, thêm 1 dòng pending</t>
        </is>
      </c>
      <c r="H20" s="7" t="inlineStr">
        <is>
          <t>Pass</t>
        </is>
      </c>
      <c r="I20" s="8" t="inlineStr">
        <is>
          <t>AC8 · BS-04 · BVA (min = 1, max-1 = 4) · test_rejected_1_to_4_times_can_resend__AC8[1], [4], test_streak_1_to_4_not_blocked__AC8</t>
        </is>
      </c>
      <c r="Q20" s="10" t="inlineStr">
        <is>
          <t>200, trả yêu cầu đã tạo</t>
        </is>
      </c>
      <c r="R20" s="11" t="inlineStr"/>
      <c r="S20" s="11" t="inlineStr">
        <is>
          <t>X</t>
        </is>
      </c>
      <c r="T20" s="11" t="inlineStr"/>
      <c r="U20" s="11" t="inlineStr"/>
      <c r="V20" s="11" t="inlineStr"/>
      <c r="W20" s="11" t="inlineStr"/>
      <c r="X20" s="11" t="inlineStr"/>
      <c r="Y20" s="11" t="inlineStr"/>
      <c r="Z20" s="11" t="inlineStr"/>
      <c r="AA20" s="11" t="inlineStr"/>
      <c r="AB20" s="11" t="inlineStr"/>
    </row>
    <row r="21" ht="90.5" customHeight="1">
      <c r="A21" s="7" t="inlineStr">
        <is>
          <t>TC-LINKREQ-13</t>
        </is>
      </c>
      <c r="B21" s="7" t="inlineStr">
        <is>
          <t>Gửi lại sau khi liên kết bị hủy tạo yêu cầu mới, không khôi phục chia sẻ</t>
        </is>
      </c>
      <c r="C21" s="8" t="inlineStr">
        <is>
          <t>Người bệnh P đã đồng ý family_sharing và lấy mã C qua GET /family/link-code; cặp (P, F) có dòng revoked, trước đó sharing_enabled = true</t>
        </is>
      </c>
      <c r="D21" s="8" t="inlineStr">
        <is>
          <t>1. POST /family/link-requests với phiên của F, body {client_uuid, code}
2. Đọc caregiver_links của cặp</t>
        </is>
      </c>
      <c r="E21" s="8" t="inlineStr">
        <is>
          <t>code = C</t>
        </is>
      </c>
      <c r="F21" s="8" t="inlineStr">
        <is>
          <t>201; dòng revoked cũ giữ nguyên; dòng mới pending, sharing_enabled = false</t>
        </is>
      </c>
      <c r="G21" s="8" t="inlineStr">
        <is>
          <t>201; dòng cũ không đổi; dòng mới pending, sharing_enabled false</t>
        </is>
      </c>
      <c r="H21" s="7" t="inlineStr">
        <is>
          <t>Pass</t>
        </is>
      </c>
      <c r="I21" s="8" t="inlineStr">
        <is>
          <t>AC9 · QD-30 · Chuyển trạng thái (revoked → yêu cầu mới) · test_resend_after_revoked_sharing_false__AC9</t>
        </is>
      </c>
      <c r="Q21" s="10" t="inlineStr">
        <is>
          <t>429 link_request_locked + Retry-After</t>
        </is>
      </c>
      <c r="R21" s="11" t="inlineStr"/>
      <c r="S21" s="11" t="inlineStr"/>
      <c r="T21" s="11" t="inlineStr">
        <is>
          <t>X</t>
        </is>
      </c>
      <c r="U21" s="11" t="inlineStr"/>
      <c r="V21" s="11" t="inlineStr"/>
      <c r="W21" s="11" t="inlineStr"/>
      <c r="X21" s="11" t="inlineStr"/>
      <c r="Y21" s="11" t="inlineStr"/>
      <c r="Z21" s="11" t="inlineStr"/>
      <c r="AA21" s="11" t="inlineStr"/>
      <c r="AB21" s="11" t="inlineStr"/>
    </row>
    <row r="22" ht="57.5" customHeight="1">
      <c r="A22" s="7" t="inlineStr">
        <is>
          <t>TC-LINKREQ-14</t>
        </is>
      </c>
      <c r="B22" s="7" t="inlineStr">
        <is>
          <t>Bỏ qua khoảng trắng hai đầu và chữ thường trong mã</t>
        </is>
      </c>
      <c r="C22" s="8" t="inlineStr">
        <is>
          <t>Người bệnh P đã đồng ý family_sharing và lấy mã C qua GET /family/link-code</t>
        </is>
      </c>
      <c r="D22" s="8" t="inlineStr">
        <is>
          <t>1. POST /family/link-requests với phiên của F, body {client_uuid, code}, code là C viết thường có khoảng trắng hai đầu</t>
        </is>
      </c>
      <c r="E22" s="8" t="inlineStr">
        <is>
          <t>code = "  &lt;c viết thường&gt; "</t>
        </is>
      </c>
      <c r="F22" s="8" t="inlineStr">
        <is>
          <t>201; tạo đúng 1 dòng cho cặp (P, F)</t>
        </is>
      </c>
      <c r="G22" s="8" t="inlineStr">
        <is>
          <t>201; 1 dòng</t>
        </is>
      </c>
      <c r="H22" s="7" t="inlineStr">
        <is>
          <t>Pass</t>
        </is>
      </c>
      <c r="I22" s="8" t="inlineStr">
        <is>
          <t>AC20 · EP (3) · test_code_normalized__AC20, test_request_body_normalizes_code__AC20</t>
        </is>
      </c>
      <c r="Q22" s="10" t="inlineStr">
        <is>
          <t>429 link_request_daily_limit + Retry-After</t>
        </is>
      </c>
      <c r="R22" s="11" t="inlineStr"/>
      <c r="S22" s="11" t="inlineStr"/>
      <c r="T22" s="11" t="inlineStr"/>
      <c r="U22" s="11" t="inlineStr">
        <is>
          <t>X</t>
        </is>
      </c>
      <c r="V22" s="11" t="inlineStr"/>
      <c r="W22" s="11" t="inlineStr"/>
      <c r="X22" s="11" t="inlineStr"/>
      <c r="Y22" s="11" t="inlineStr"/>
      <c r="Z22" s="11" t="inlineStr"/>
      <c r="AA22" s="11" t="inlineStr"/>
      <c r="AB22" s="11" t="inlineStr"/>
    </row>
    <row r="23" ht="57.5" customHeight="1">
      <c r="A23" s="7" t="inlineStr">
        <is>
          <t>TC-LINKREQ-15</t>
        </is>
      </c>
      <c r="B23" s="7" t="inlineStr">
        <is>
          <t>Từ chối body thiếu code</t>
        </is>
      </c>
      <c r="C23" s="8" t="inlineStr">
        <is>
          <t>Người thân F đăng nhập</t>
        </is>
      </c>
      <c r="D23" s="8" t="inlineStr">
        <is>
          <t>1. POST /family/link-requests với phiên của F, body {client_uuid, code} không có field code
2. Đọc lượt sai và caregiver_links của F</t>
        </is>
      </c>
      <c r="E23" s="8" t="inlineStr">
        <is>
          <t>body = {"client_uuid": "&lt;UUID&gt;"}</t>
        </is>
      </c>
      <c r="F23" s="8" t="inlineStr">
        <is>
          <t>422, detail là mảng lỗi field; không tính lần sai, không tạo dòng</t>
        </is>
      </c>
      <c r="G23" s="8" t="inlineStr">
        <is>
          <t>422 mảng lỗi; không có lượt sai, không có dòng</t>
        </is>
      </c>
      <c r="H23" s="7" t="inlineStr">
        <is>
          <t>Pass</t>
        </is>
      </c>
      <c r="I23" s="8" t="inlineStr">
        <is>
          <t>AC20 · EP (10) · test_validation_422_not_counted__AC20[thieu-code]</t>
        </is>
      </c>
      <c r="Q23" s="10" t="inlineStr">
        <is>
          <t>404 link_code_not_found, tính 1 lần sai</t>
        </is>
      </c>
      <c r="R23" s="11" t="inlineStr"/>
      <c r="S23" s="11" t="inlineStr"/>
      <c r="T23" s="11" t="inlineStr"/>
      <c r="U23" s="11" t="inlineStr"/>
      <c r="V23" s="11" t="inlineStr">
        <is>
          <t>X</t>
        </is>
      </c>
      <c r="W23" s="11" t="inlineStr"/>
      <c r="X23" s="11" t="inlineStr">
        <is>
          <t>X</t>
        </is>
      </c>
      <c r="Y23" s="11" t="inlineStr"/>
      <c r="Z23" s="11" t="inlineStr"/>
      <c r="AA23" s="11" t="inlineStr"/>
      <c r="AB23" s="11" t="inlineStr"/>
    </row>
    <row r="24" ht="57.5" customHeight="1">
      <c r="A24" s="7" t="inlineStr">
        <is>
          <t>TC-LINKREQ-16</t>
        </is>
      </c>
      <c r="B24" s="7" t="inlineStr">
        <is>
          <t>Từ chối code không phải chuỗi</t>
        </is>
      </c>
      <c r="C24" s="8" t="inlineStr">
        <is>
          <t>Người thân F đăng nhập</t>
        </is>
      </c>
      <c r="D24" s="8" t="inlineStr">
        <is>
          <t>1. POST /family/link-requests với phiên của F, body {client_uuid, code}</t>
        </is>
      </c>
      <c r="E24" s="8" t="inlineStr">
        <is>
          <t>code = 1234567890 (số)</t>
        </is>
      </c>
      <c r="F24" s="8" t="inlineStr">
        <is>
          <t>422 mảng lỗi field; không tính lần sai</t>
        </is>
      </c>
      <c r="G24" s="8" t="inlineStr">
        <is>
          <t>422 mảng lỗi; không có lượt sai</t>
        </is>
      </c>
      <c r="H24" s="7" t="inlineStr">
        <is>
          <t>Pass</t>
        </is>
      </c>
      <c r="I24" s="8" t="inlineStr">
        <is>
          <t>AC20 · EP (11) · test_validation_422_not_counted__AC20[code-khong-phai-chuoi]</t>
        </is>
      </c>
      <c r="Q24" s="10" t="inlineStr">
        <is>
          <t>422 self_link_not_allowed</t>
        </is>
      </c>
      <c r="R24" s="11" t="inlineStr"/>
      <c r="S24" s="11" t="inlineStr"/>
      <c r="T24" s="11" t="inlineStr"/>
      <c r="U24" s="11" t="inlineStr"/>
      <c r="V24" s="11" t="inlineStr"/>
      <c r="W24" s="11" t="inlineStr">
        <is>
          <t>X</t>
        </is>
      </c>
      <c r="X24" s="11" t="inlineStr"/>
      <c r="Y24" s="11" t="inlineStr"/>
      <c r="Z24" s="11" t="inlineStr"/>
      <c r="AA24" s="11" t="inlineStr"/>
      <c r="AB24" s="11" t="inlineStr"/>
    </row>
    <row r="25" ht="57.5" customHeight="1">
      <c r="A25" s="7" t="inlineStr">
        <is>
          <t>TC-LINKREQ-17</t>
        </is>
      </c>
      <c r="B25" s="7" t="inlineStr">
        <is>
          <t>Từ chối mã có ký tự dễ nhầm</t>
        </is>
      </c>
      <c r="C25" s="8" t="inlineStr">
        <is>
          <t>Người thân F đăng nhập</t>
        </is>
      </c>
      <c r="D25" s="8" t="inlineStr">
        <is>
          <t>1. POST /family/link-requests với phiên của F, body {client_uuid, code}, lần lượt 5 mã</t>
        </is>
      </c>
      <c r="E25" s="8" t="inlineStr">
        <is>
          <t>K7M2Q9XARO | K7M2Q9XARI | K7M2Q9XARL | K7M2Q9XAR0 | K7M2Q9XAR1</t>
        </is>
      </c>
      <c r="F25" s="8" t="inlineStr">
        <is>
          <t>Cả 5 lần 422 mảng lỗi field; không tính lần sai</t>
        </is>
      </c>
      <c r="G25" s="8" t="inlineStr">
        <is>
          <t>Cả 5 lần 422; không có lượt sai</t>
        </is>
      </c>
      <c r="H25" s="7" t="inlineStr">
        <is>
          <t>Pass</t>
        </is>
      </c>
      <c r="I25" s="8" t="inlineStr">
        <is>
          <t>AC20 · EP (12) · test_validation_422_not_counted__AC20[co-O], [co-I], [co-L], [co-0], [co-1]</t>
        </is>
      </c>
      <c r="Q25" s="10" t="inlineStr">
        <is>
          <t>409 link_request_pending</t>
        </is>
      </c>
      <c r="R25" s="11" t="inlineStr"/>
      <c r="S25" s="11" t="inlineStr"/>
      <c r="T25" s="11" t="inlineStr"/>
      <c r="U25" s="11" t="inlineStr"/>
      <c r="V25" s="11" t="inlineStr"/>
      <c r="W25" s="11" t="inlineStr"/>
      <c r="X25" s="11" t="inlineStr"/>
      <c r="Y25" s="11" t="inlineStr">
        <is>
          <t>X</t>
        </is>
      </c>
      <c r="Z25" s="11" t="inlineStr"/>
      <c r="AA25" s="11" t="inlineStr"/>
      <c r="AB25" s="11" t="inlineStr"/>
    </row>
    <row r="26" ht="57.5" customHeight="1">
      <c r="A26" s="7" t="inlineStr">
        <is>
          <t>TC-LINKREQ-18</t>
        </is>
      </c>
      <c r="B26" s="7" t="inlineStr">
        <is>
          <t>Từ chối body thiếu client_uuid</t>
        </is>
      </c>
      <c r="C26" s="8" t="inlineStr">
        <is>
          <t>Người thân F đăng nhập</t>
        </is>
      </c>
      <c r="D26" s="8" t="inlineStr">
        <is>
          <t>1. POST /family/link-requests với phiên của F, body {client_uuid, code} không có client_uuid</t>
        </is>
      </c>
      <c r="E26" s="8" t="inlineStr">
        <is>
          <t>body = {"code": "K7M2Q9XAR4"}</t>
        </is>
      </c>
      <c r="F26" s="8" t="inlineStr">
        <is>
          <t>422 mảng lỗi field; không tính lần sai</t>
        </is>
      </c>
      <c r="G26" s="8" t="inlineStr">
        <is>
          <t>422 mảng lỗi; không có lượt sai</t>
        </is>
      </c>
      <c r="H26" s="7" t="inlineStr">
        <is>
          <t>Pass</t>
        </is>
      </c>
      <c r="I26" s="8" t="inlineStr">
        <is>
          <t>AC20 · EP (15) · test_validation_422_not_counted__AC20[thieu-client-uuid]</t>
        </is>
      </c>
      <c r="Q26" s="10" t="inlineStr">
        <is>
          <t>409 already_linked</t>
        </is>
      </c>
      <c r="R26" s="11" t="inlineStr"/>
      <c r="S26" s="11" t="inlineStr"/>
      <c r="T26" s="11" t="inlineStr"/>
      <c r="U26" s="11" t="inlineStr"/>
      <c r="V26" s="11" t="inlineStr"/>
      <c r="W26" s="11" t="inlineStr"/>
      <c r="X26" s="11" t="inlineStr"/>
      <c r="Y26" s="11" t="inlineStr"/>
      <c r="Z26" s="11" t="inlineStr">
        <is>
          <t>X</t>
        </is>
      </c>
      <c r="AA26" s="11" t="inlineStr"/>
      <c r="AB26" s="11" t="inlineStr"/>
    </row>
    <row r="27" ht="57.5" customHeight="1">
      <c r="A27" s="7" t="inlineStr">
        <is>
          <t>TC-LINKREQ-19</t>
        </is>
      </c>
      <c r="B27" s="7" t="inlineStr">
        <is>
          <t>Từ chối client_uuid không phải UUID</t>
        </is>
      </c>
      <c r="C27" s="8" t="inlineStr">
        <is>
          <t>Người thân F đăng nhập</t>
        </is>
      </c>
      <c r="D27" s="8" t="inlineStr">
        <is>
          <t>1. POST /family/link-requests với phiên của F, body {client_uuid, code}</t>
        </is>
      </c>
      <c r="E27" s="8" t="inlineStr">
        <is>
          <t>client_uuid = "not-a-uuid"</t>
        </is>
      </c>
      <c r="F27" s="8" t="inlineStr">
        <is>
          <t>422 mảng lỗi field; không tính lần sai</t>
        </is>
      </c>
      <c r="G27" s="8" t="inlineStr">
        <is>
          <t>422 mảng lỗi; không có lượt sai</t>
        </is>
      </c>
      <c r="H27" s="7" t="inlineStr">
        <is>
          <t>Pass</t>
        </is>
      </c>
      <c r="I27" s="8" t="inlineStr">
        <is>
          <t>AC20 · EP (16) · test_validation_422_not_counted__AC20[client-uuid-sai]</t>
        </is>
      </c>
      <c r="Q27" s="10" t="inlineStr">
        <is>
          <t>429 link_request_cooldown + Retry-After</t>
        </is>
      </c>
      <c r="R27" s="11" t="inlineStr"/>
      <c r="S27" s="11" t="inlineStr"/>
      <c r="T27" s="11" t="inlineStr"/>
      <c r="U27" s="11" t="inlineStr"/>
      <c r="V27" s="11" t="inlineStr"/>
      <c r="W27" s="11" t="inlineStr"/>
      <c r="X27" s="11" t="inlineStr"/>
      <c r="Y27" s="11" t="inlineStr"/>
      <c r="Z27" s="11" t="inlineStr"/>
      <c r="AA27" s="11" t="inlineStr">
        <is>
          <t>X</t>
        </is>
      </c>
      <c r="AB27" s="11" t="inlineStr"/>
    </row>
    <row r="28" ht="74" customHeight="1">
      <c r="A28" s="7" t="inlineStr">
        <is>
          <t>TC-LINKREQ-20</t>
        </is>
      </c>
      <c r="B28" s="7" t="inlineStr">
        <is>
          <t>Từ chối body có field lạ</t>
        </is>
      </c>
      <c r="C28" s="8" t="inlineStr">
        <is>
          <t>Người thân F đăng nhập</t>
        </is>
      </c>
      <c r="D28" s="8" t="inlineStr">
        <is>
          <t>1. POST /family/link-requests với phiên của F, body {client_uuid, code} kèm field patient_user_id</t>
        </is>
      </c>
      <c r="E28" s="8" t="inlineStr">
        <is>
          <t>patient_user_id = "x"</t>
        </is>
      </c>
      <c r="F28" s="8" t="inlineStr">
        <is>
          <t>422 mảng lỗi field; không tính lần sai, không tạo dòng</t>
        </is>
      </c>
      <c r="G28" s="8" t="inlineStr">
        <is>
          <t>422 mảng lỗi; không có lượt sai, không có dòng</t>
        </is>
      </c>
      <c r="H28" s="7" t="inlineStr">
        <is>
          <t>Pass</t>
        </is>
      </c>
      <c r="I28" s="8" t="inlineStr">
        <is>
          <t>AC20 · EP (20) · Đoán lỗi (truy cập dữ liệu người khác) · test_validation_422_not_counted__AC20[field-la]</t>
        </is>
      </c>
      <c r="Q28" s="10" t="inlineStr">
        <is>
          <t>201, tạo yêu cầu pending</t>
        </is>
      </c>
      <c r="R28" s="11" t="inlineStr"/>
      <c r="S28" s="11" t="inlineStr"/>
      <c r="T28" s="11" t="inlineStr"/>
      <c r="U28" s="11" t="inlineStr"/>
      <c r="V28" s="11" t="inlineStr"/>
      <c r="W28" s="11" t="inlineStr"/>
      <c r="X28" s="11" t="inlineStr"/>
      <c r="Y28" s="11" t="inlineStr"/>
      <c r="Z28" s="11" t="inlineStr"/>
      <c r="AA28" s="11" t="inlineStr"/>
      <c r="AB28" s="11" t="inlineStr">
        <is>
          <t>X</t>
        </is>
      </c>
    </row>
    <row r="29" ht="123.5" customHeight="1">
      <c r="A29" s="7" t="inlineStr">
        <is>
          <t>TC-LINKREQ-21</t>
        </is>
      </c>
      <c r="B29" s="7" t="inlineStr">
        <is>
          <t>Gửi lại cùng client_uuid trả yêu cầu đã tạo với trạng thái hiện tại</t>
        </is>
      </c>
      <c r="C29" s="8" t="inlineStr">
        <is>
          <t>Người bệnh P đã đồng ý family_sharing và lấy mã C qua GET /family/link-code; F đã gửi thành công với client_uuid K (201)</t>
        </is>
      </c>
      <c r="D29" s="8" t="inlineStr">
        <is>
          <t>1. POST /family/link-requests với phiên của F, body {client_uuid, code} với cùng K
2. Đổi dòng của yêu cầu sang active bằng kết nối quản trị
3. POST /family/link-requests với phiên của F, body {client_uuid, code} với cùng K lần nữa
4. Đọc caregiver_links của cặp</t>
        </is>
      </c>
      <c r="E29" s="8" t="inlineStr">
        <is>
          <t>client_uuid = K</t>
        </is>
      </c>
      <c r="F29" s="8" t="inlineStr">
        <is>
          <t>Lần 2: 200, body giống hệt lần đầu; lần 3: 200, cùng id và requested_at, status = active; DB vẫn 1 dòng</t>
        </is>
      </c>
      <c r="G29" s="8" t="inlineStr">
        <is>
          <t>200 giống lần đầu; sau khi đổi trạng thái: 200 với status active; 1 dòng</t>
        </is>
      </c>
      <c r="H29" s="7" t="inlineStr">
        <is>
          <t>Pass</t>
        </is>
      </c>
      <c r="I29" s="8" t="inlineStr">
        <is>
          <t>AC29 · EP (5) · Decision Table (R2) · Kịch bản chất lượng (gửi lại cùng client_uuid → một bản ghi) · test_replay_200_current_status__AC29, test_replay_returns_existing_not_created__AC29</t>
        </is>
      </c>
    </row>
    <row r="30" ht="90.5" customHeight="1">
      <c r="A30" s="7" t="inlineStr">
        <is>
          <t>TC-LINKREQ-22</t>
        </is>
      </c>
      <c r="B30" s="7" t="inlineStr">
        <is>
          <t>Gửi lại cùng client_uuid vẫn nhận 200 khi đang bị khóa</t>
        </is>
      </c>
      <c r="C30" s="8" t="inlineStr">
        <is>
          <t>Người bệnh P đã đồng ý family_sharing và lấy mã C qua GET /family/link-code; F đã gửi thành công với K, sau đó sai 5 lần nên bị khóa</t>
        </is>
      </c>
      <c r="D30" s="8" t="inlineStr">
        <is>
          <t>1. POST /family/link-requests với phiên của F, body {client_uuid, code} với mã của người bệnh khác (xác nhận đang bị khóa)
2. POST /family/link-requests với phiên của F, body {client_uuid, code} với K và mã C</t>
        </is>
      </c>
      <c r="E30" s="8" t="inlineStr">
        <is>
          <t>client_uuid = K</t>
        </is>
      </c>
      <c r="F30" s="8" t="inlineStr">
        <is>
          <t>Request mới: 429 link_request_locked; request với K: 200, body như lần đầu; không thêm dòng</t>
        </is>
      </c>
      <c r="G30" s="8" t="inlineStr">
        <is>
          <t>429 link_request_locked; rồi 200 giống lần đầu; số dòng không đổi</t>
        </is>
      </c>
      <c r="H30" s="7" t="inlineStr">
        <is>
          <t>Pass</t>
        </is>
      </c>
      <c r="I30" s="8" t="inlineStr">
        <is>
          <t>AC29 · Decision Table (R2) · test_replay_200_while_locked_or_daily_limit__AC29[link_request_locked], test_replay_allowed_while_locked__AC29</t>
        </is>
      </c>
    </row>
    <row r="31" ht="90.5" customHeight="1">
      <c r="A31" s="7" t="inlineStr">
        <is>
          <t>TC-LINKREQ-23</t>
        </is>
      </c>
      <c r="B31" s="7" t="inlineStr">
        <is>
          <t>Gửi lại cùng client_uuid vẫn nhận 200 khi đã đủ 10 yêu cầu trong ngày</t>
        </is>
      </c>
      <c r="C31" s="8" t="inlineStr">
        <is>
          <t>Người bệnh P đã đồng ý family_sharing và lấy mã C qua GET /family/link-code; F đã gửi thành công với K và đã có tổng 10 yêu cầu hôm nay</t>
        </is>
      </c>
      <c r="D31" s="8" t="inlineStr">
        <is>
          <t>1. POST /family/link-requests với phiên của F, body {client_uuid, code} với mã của người bệnh khác (xác nhận đủ giới hạn)
2. POST /family/link-requests với phiên của F, body {client_uuid, code} với K và mã C</t>
        </is>
      </c>
      <c r="E31" s="8" t="inlineStr">
        <is>
          <t>client_uuid = K</t>
        </is>
      </c>
      <c r="F31" s="8" t="inlineStr">
        <is>
          <t>Request mới: 429 link_request_daily_limit; request với K: 200, body như lần đầu</t>
        </is>
      </c>
      <c r="G31" s="8" t="inlineStr">
        <is>
          <t>429 link_request_daily_limit; rồi 200 giống lần đầu</t>
        </is>
      </c>
      <c r="H31" s="7" t="inlineStr">
        <is>
          <t>Pass</t>
        </is>
      </c>
      <c r="I31" s="8" t="inlineStr">
        <is>
          <t>AC29 · Decision Table (R2) · test_replay_200_while_locked_or_daily_limit__AC29[link_request_daily_limit]</t>
        </is>
      </c>
    </row>
    <row r="32" ht="90.5" customHeight="1">
      <c r="A32" s="7" t="inlineStr">
        <is>
          <t>TC-LINKREQ-24</t>
        </is>
      </c>
      <c r="B32" s="7" t="inlineStr">
        <is>
          <t>Gửi lại cùng client_uuid kèm mã khác thì body lần sau bị bỏ qua</t>
        </is>
      </c>
      <c r="C32" s="8" t="inlineStr">
        <is>
          <t>Người bệnh P đã đồng ý family_sharing và lấy mã C qua GET /family/link-code; P2 có mã C2; F đã gửi thành công C với K</t>
        </is>
      </c>
      <c r="D32" s="8" t="inlineStr">
        <is>
          <t>1. POST /family/link-requests với phiên của F, body {client_uuid, code} với K và mã C2
2. Đọc caregiver_links của cặp (P2, F)</t>
        </is>
      </c>
      <c r="E32" s="8" t="inlineStr">
        <is>
          <t>client_uuid = K; code = C2</t>
        </is>
      </c>
      <c r="F32" s="8" t="inlineStr">
        <is>
          <t>200 với yêu cầu đã tạo bằng C; không có dòng nào cho (P2, F)</t>
        </is>
      </c>
      <c r="G32" s="8" t="inlineStr">
        <is>
          <t>200 giống lần đầu; (P2, F) không có dòng</t>
        </is>
      </c>
      <c r="H32" s="7" t="inlineStr">
        <is>
          <t>Pass</t>
        </is>
      </c>
      <c r="I32" s="8" t="inlineStr">
        <is>
          <t>AC30 · test_replay_ignores_other_code__AC30, test_replay_ignores_new_code__AC30</t>
        </is>
      </c>
    </row>
    <row r="33" ht="57.5" customHeight="1">
      <c r="A33" s="7" t="inlineStr">
        <is>
          <t>TC-LINKREQ-25</t>
        </is>
      </c>
      <c r="B33" s="7" t="inlineStr">
        <is>
          <t>client_uuid của hai tài khoản khác nhau được xử lý độc lập</t>
        </is>
      </c>
      <c r="C33" s="8" t="inlineStr">
        <is>
          <t>Người bệnh P đã đồng ý family_sharing và lấy mã C qua GET /family/link-code</t>
        </is>
      </c>
      <c r="D33" s="8" t="inlineStr">
        <is>
          <t>1. F1 gửi C với K
2. F2 gửi C với cùng K</t>
        </is>
      </c>
      <c r="E33" s="8" t="inlineStr">
        <is>
          <t>client_uuid = K cho cả hai</t>
        </is>
      </c>
      <c r="F33" s="8" t="inlineStr">
        <is>
          <t>Cả hai 201, id khác nhau; dòng của F2 có client_uuid = K</t>
        </is>
      </c>
      <c r="G33" s="8" t="inlineStr">
        <is>
          <t>Cả hai 201, id khác nhau</t>
        </is>
      </c>
      <c r="H33" s="7" t="inlineStr">
        <is>
          <t>Pass</t>
        </is>
      </c>
      <c r="I33" s="8" t="inlineStr">
        <is>
          <t>AC30 · test_replay_isolated_per_user__AC30</t>
        </is>
      </c>
    </row>
    <row r="34" ht="90.5" customHeight="1">
      <c r="A34" s="7" t="inlineStr">
        <is>
          <t>TC-LINKREQ-26</t>
        </is>
      </c>
      <c r="B34" s="7" t="inlineStr">
        <is>
          <t>App tự gửi lại request sai mã không làm tăng số lần sai</t>
        </is>
      </c>
      <c r="C34" s="8" t="inlineStr">
        <is>
          <t>Người thân F đăng nhập</t>
        </is>
      </c>
      <c r="D34" s="8" t="inlineStr">
        <is>
          <t>1. POST /family/link-requests với phiên của F, body {client_uuid, code} với mã sai và client_uuid K
2. Gửi lại đúng request đó
3. Đọc lượt sai của F</t>
        </is>
      </c>
      <c r="E34" s="8" t="inlineStr">
        <is>
          <t>client_uuid = K; cùng một mã sai</t>
        </is>
      </c>
      <c r="F34" s="8" t="inlineStr">
        <is>
          <t>Cả hai lần 404 link_code_not_found; chỉ 1 dòng lượt sai (client_uuid K)</t>
        </is>
      </c>
      <c r="G34" s="8" t="inlineStr">
        <is>
          <t>404 hai lần; 1 dòng lượt sai</t>
        </is>
      </c>
      <c r="H34" s="7" t="inlineStr">
        <is>
          <t>Pass</t>
        </is>
      </c>
      <c r="I34" s="8" t="inlineStr">
        <is>
          <t>AC31 · Đoán lỗi (mất mạng, gửi lại) · test_replay_failed_not_double_counted__AC31, test_record_failure_on_conflict_do_nothing__AC31</t>
        </is>
      </c>
    </row>
    <row r="35" ht="107" customHeight="1">
      <c r="A35" s="7" t="inlineStr">
        <is>
          <t>TC-LINKREQ-27</t>
        </is>
      </c>
      <c r="B35" s="7" t="inlineStr">
        <is>
          <t>Hai request cùng client_uuid tới đồng thời chỉ tạo một yêu cầu</t>
        </is>
      </c>
      <c r="C35" s="8" t="inlineStr">
        <is>
          <t>Người bệnh P đã đồng ý family_sharing và lấy mã C qua GET /family/link-code</t>
        </is>
      </c>
      <c r="D35" s="8" t="inlineStr">
        <is>
          <t>1. Giữ khóa người gửi của F bằng kết nối quản trị
2. Gửi 2 request cùng K, mã C trong 2 thread; chờ cả hai đang đợi khóa (pg_stat_activity)
3. Nhả khóa, đợi hai request trả về
4. Đọc caregiver_links của cặp</t>
        </is>
      </c>
      <c r="E35" s="8" t="inlineStr">
        <is>
          <t>client_uuid = K cho cả hai</t>
        </is>
      </c>
      <c r="F35" s="8" t="inlineStr">
        <is>
          <t>Một request 201, request còn lại 200, cùng body; DB có đúng 1 dòng</t>
        </is>
      </c>
      <c r="G35" s="8" t="inlineStr">
        <is>
          <t>201 và 200, cùng body; 1 dòng. Chạy lặp 5 lần đều pass</t>
        </is>
      </c>
      <c r="H35" s="7" t="inlineStr">
        <is>
          <t>Pass</t>
        </is>
      </c>
      <c r="I35" s="8" t="inlineStr">
        <is>
          <t>AC31 · Đoán lỗi (chạy đua, bấm liên tục) · test_concurrent_same_client_uuid_201_and_200__AC31</t>
        </is>
      </c>
    </row>
    <row r="36" ht="156.5" customHeight="1">
      <c r="A36" s="7" t="inlineStr">
        <is>
          <t>TC-LINKREQ-28</t>
        </is>
      </c>
      <c r="B36" s="7" t="inlineStr">
        <is>
          <t>Mã của người bệnh đã rút family_sharing trả giống hệt mã không tồn tại</t>
        </is>
      </c>
      <c r="C36" s="8" t="inlineStr">
        <is>
          <t>Người bệnh P đã đồng ý family_sharing và lấy mã C qua GET /family/link-code; sau đó P rút consent family_sharing</t>
        </is>
      </c>
      <c r="D36" s="8" t="inlineStr">
        <is>
          <t>1. POST /family/link-requests với phiên của F, body {client_uuid, code} với mã không tồn tại (để so sánh)
2. POST /family/link-requests với phiên của F, body {client_uuid, code} với mã C
3. So status, body, content-type hai response; đọc lượt sai và caregiver_links
4. P đồng ý lại family_sharing; F gửi C với client_uuid mới</t>
        </is>
      </c>
      <c r="E36" s="8" t="inlineStr">
        <is>
          <t>code = C</t>
        </is>
      </c>
      <c r="F36" s="8" t="inlineStr">
        <is>
          <t>Cả hai 404 với body giống hệt từng byte; 2 lượt sai; không có dòng (P, F); sau khi P đồng ý lại: 201 (mã cũ dùng lại được)</t>
        </is>
      </c>
      <c r="G36" s="8" t="inlineStr">
        <is>
          <t>404 giống hệt; 2 lượt sai; không có dòng; sau khi đồng ý lại: 201</t>
        </is>
      </c>
      <c r="H36" s="7" t="inlineStr">
        <is>
          <t>Pass</t>
        </is>
      </c>
      <c r="I36" s="8" t="inlineStr">
        <is>
          <t>AC33 · BS-05 · QD-34 (b) · EP (18) · Decision Table (R7) · test_owner_revoked_consent_404__AC33, test_owner_without_consent_same_as_unknown__AC33</t>
        </is>
      </c>
    </row>
    <row r="37" ht="90.5" customHeight="1">
      <c r="A37" s="7" t="inlineStr">
        <is>
          <t>TC-LINKREQ-29</t>
        </is>
      </c>
      <c r="B37" s="7" t="inlineStr">
        <is>
          <t>Rút consent có hiệu lực ngay ở request kế tiếp</t>
        </is>
      </c>
      <c r="C37" s="8" t="inlineStr">
        <is>
          <t>Người bệnh P đã đồng ý family_sharing và lấy mã C qua GET /family/link-code; F1 đã gửi thành công (201)</t>
        </is>
      </c>
      <c r="D37" s="8" t="inlineStr">
        <is>
          <t>1. P gọi POST /consents/family_sharing/withdraw
2. F2 gửi C ngay sau đó
3. Đọc caregiver_links của (P, F2)</t>
        </is>
      </c>
      <c r="E37" s="8" t="inlineStr">
        <is>
          <t>code = C</t>
        </is>
      </c>
      <c r="F37" s="8" t="inlineStr">
        <is>
          <t>404 {"detail": "link_code_not_found"}; không có dòng (P, F2)</t>
        </is>
      </c>
      <c r="G37" s="8" t="inlineStr">
        <is>
          <t>Withdraw 200; F2 nhận 404 link_code_not_found; không có dòng</t>
        </is>
      </c>
      <c r="H37" s="7" t="inlineStr">
        <is>
          <t>Pass</t>
        </is>
      </c>
      <c r="I37" s="8" t="inlineStr">
        <is>
          <t>AC34 · Bất biến 4 · Kịch bản chất lượng (rút consent rồi gửi request ngay) · test_consent_revoked_takes_effect_next_request__AC34</t>
        </is>
      </c>
    </row>
    <row r="38" ht="74" customHeight="1">
      <c r="A38" s="7" t="inlineStr">
        <is>
          <t>TC-LINKREQ-30</t>
        </is>
      </c>
      <c r="B38" s="7" t="inlineStr">
        <is>
          <t>Mã liên kết không xuất hiện trong log ứng dụng</t>
        </is>
      </c>
      <c r="C38" s="8" t="inlineStr">
        <is>
          <t>Người bệnh P đã đồng ý family_sharing và lấy mã C qua GET /family/link-code; logger drugtime ở mức DEBUG</t>
        </is>
      </c>
      <c r="D38" s="8" t="inlineStr">
        <is>
          <t>1. Gửi lần lượt để đi qua 201, 409, 422 (mã của mình), 5 lần 404, rồi 429 (bị khóa)
2. Tìm mã C, c viết thường và 5 mã sai trong log bắt được</t>
        </is>
      </c>
      <c r="E38" s="8" t="inlineStr">
        <is>
          <t>caplog</t>
        </is>
      </c>
      <c r="F38" s="8" t="inlineStr">
        <is>
          <t>Mã trạng thái đúng thứ tự 201, 409, 422, 404 ×5, 429; không dòng log nào chứa mã đã gửi</t>
        </is>
      </c>
      <c r="G38" s="8" t="inlineStr">
        <is>
          <t>Đúng thứ tự; không có mã trong log</t>
        </is>
      </c>
      <c r="H38" s="7" t="inlineStr">
        <is>
          <t>Pass</t>
        </is>
      </c>
      <c r="I38" s="8" t="inlineStr">
        <is>
          <t>AC17 · Đoán lỗi (bí mật) · test_code_not_logged__AC17, test_error_messages_never_contain_code__AC17</t>
        </is>
      </c>
    </row>
    <row r="39" ht="74" customHeight="1">
      <c r="A39" s="7" t="inlineStr">
        <is>
          <t>TC-LINKREQ-31</t>
        </is>
      </c>
      <c r="B39" s="7" t="inlineStr">
        <is>
          <t>Người thân đang bị khóa không ảnh hưởng mã của người bệnh</t>
        </is>
      </c>
      <c r="C39" s="8" t="inlineStr">
        <is>
          <t>Người bệnh P đã đồng ý family_sharing và lấy mã C qua GET /family/link-code; F1 đang bị khóa vì sai 5 lần</t>
        </is>
      </c>
      <c r="D39" s="8" t="inlineStr">
        <is>
          <t>1. F1 gửi C (xác nhận 429)
2. F2 gửi C</t>
        </is>
      </c>
      <c r="E39" s="8" t="inlineStr">
        <is>
          <t>code = C</t>
        </is>
      </c>
      <c r="F39" s="8" t="inlineStr">
        <is>
          <t>F1: 429; F2: 201 và có dòng pending (P, F2)</t>
        </is>
      </c>
      <c r="G39" s="8" t="inlineStr">
        <is>
          <t>F1 429; F2 201, 1 dòng pending</t>
        </is>
      </c>
      <c r="H39" s="7" t="inlineStr">
        <is>
          <t>Pass</t>
        </is>
      </c>
      <c r="I39" s="8" t="inlineStr">
        <is>
          <t>AC15 · QD-34 (i) · test_locked_family_does_not_block_patient_code__AC15</t>
        </is>
      </c>
    </row>
    <row r="40" ht="107" customHeight="1">
      <c r="A40" s="7" t="inlineStr">
        <is>
          <t>TC-LINKREQ-32</t>
        </is>
      </c>
      <c r="B40" s="7" t="inlineStr">
        <is>
          <t>Mười request sai mã gửi đồng thời chỉ tính tối đa 5 lần sai</t>
        </is>
      </c>
      <c r="C40" s="8" t="inlineStr">
        <is>
          <t>Người thân F chưa sai lần nào; app cố định giờ</t>
        </is>
      </c>
      <c r="D40" s="8" t="inlineStr">
        <is>
          <t>1. Giữ khóa người gửi của F bằng kết nối quản trị
2. Gửi 10 request với 10 mã sai khác nhau trong 10 thread; chờ cả 10 đang đợi khóa
3. Nhả khóa, đợi các request trả về
4. Đếm lượt sai của F</t>
        </is>
      </c>
      <c r="E40" s="8" t="inlineStr">
        <is>
          <t>10 mã ngẫu nhiên không tồn tại</t>
        </is>
      </c>
      <c r="F40" s="8" t="inlineStr">
        <is>
          <t>Đúng 5 request 404 và 5 request 429 link_request_locked; DB có đúng 5 lượt sai</t>
        </is>
      </c>
      <c r="G40" s="8" t="inlineStr">
        <is>
          <t>5 × 404, 5 × 429 link_request_locked; 5 lượt sai. Chạy lặp 5 lần đều pass</t>
        </is>
      </c>
      <c r="H40" s="7" t="inlineStr">
        <is>
          <t>Pass</t>
        </is>
      </c>
      <c r="I40" s="8" t="inlineStr">
        <is>
          <t>AC13 · Đoán lỗi (chạy đua) · test_concurrent_wrong_codes_at_most_five_404__AC13, test_lock_sender_called_before_replay__AC13</t>
        </is>
      </c>
    </row>
    <row r="41" ht="90.5" customHeight="1">
      <c r="A41" s="7" t="inlineStr">
        <is>
          <t>TC-LINKREQ-33</t>
        </is>
      </c>
      <c r="B41" s="7" t="inlineStr">
        <is>
          <t>Bảng lượt sai không lưu mã đã thử</t>
        </is>
      </c>
      <c r="C41" s="8" t="inlineStr">
        <is>
          <t>Người thân F đăng nhập</t>
        </is>
      </c>
      <c r="D41" s="8" t="inlineStr">
        <is>
          <t>1. Gửi 3 mã sai
2. Đọc cột của link_request_attempts và toàn bộ giá trị các dòng của F</t>
        </is>
      </c>
      <c r="E41" s="8" t="inlineStr">
        <is>
          <t>3 mã ngẫu nhiên không tồn tại</t>
        </is>
      </c>
      <c r="F41" s="8" t="inlineStr">
        <is>
          <t>Cột chỉ gồm id, family_user_id, client_uuid, attempted_at, account_locked_until; không giá trị nào chứa mã đã thử (kể cả viết thường)</t>
        </is>
      </c>
      <c r="G41" s="8" t="inlineStr">
        <is>
          <t>Đúng 5 cột; không có mã trong dữ liệu</t>
        </is>
      </c>
      <c r="H41" s="7" t="inlineStr">
        <is>
          <t>Pass</t>
        </is>
      </c>
      <c r="I41" s="8" t="inlineStr">
        <is>
          <t>AC18 · Đoán lỗi (bí mật) · test_attempts_have_no_code_column__AC18, test_wrong_codes_not_stored__AC18, test_record_failure_params_have_no_code__AC18</t>
        </is>
      </c>
    </row>
    <row r="42" ht="74" customHeight="1">
      <c r="A42" s="7" t="inlineStr">
        <is>
          <t>TC-LINKREQ-34</t>
        </is>
      </c>
      <c r="B42" s="7" t="inlineStr">
        <is>
          <t>Xóa dữ liệu user xóa lượt sai và liên kết của user đó</t>
        </is>
      </c>
      <c r="C42" s="8" t="inlineStr">
        <is>
          <t>F có 2 lượt sai, 1 yêu cầu tới P và 1 liên kết với vai người bệnh; user khác G có lượt sai và yêu cầu riêng</t>
        </is>
      </c>
      <c r="D42" s="8" t="inlineStr">
        <is>
          <t>1. Chạy family.eraser.erase_user(F) bằng kết nối worker_role
2. Đọc link_request_attempts và caregiver_links của F và G</t>
        </is>
      </c>
      <c r="E42" s="8" t="inlineStr">
        <is>
          <t>-</t>
        </is>
      </c>
      <c r="F42" s="8" t="inlineStr">
        <is>
          <t>Không lỗi; F không còn lượt sai hay dòng caregiver_links nào (cả hai vai); dữ liệu của G giữ nguyên</t>
        </is>
      </c>
      <c r="G42" s="8" t="inlineStr">
        <is>
          <t>Đúng như mong đợi</t>
        </is>
      </c>
      <c r="H42" s="7" t="inlineStr">
        <is>
          <t>Pass</t>
        </is>
      </c>
      <c r="I42" s="8" t="inlineStr">
        <is>
          <t>AC19 · QD-35 · test_erase_user_deletes_attempts_and_links__AC19, test_erase_deletes_attempts__AC19</t>
        </is>
      </c>
    </row>
    <row r="43" ht="57.5" customHeight="1">
      <c r="A43" s="7" t="inlineStr">
        <is>
          <t>TC-LINKREQ-35</t>
        </is>
      </c>
      <c r="B43" s="7" t="inlineStr">
        <is>
          <t>DB từ chối dòng pending/active thứ hai cho cùng cặp</t>
        </is>
      </c>
      <c r="C43" s="8" t="inlineStr">
        <is>
          <t>Cặp (P, F) đã có 1 dòng pending hoặc active</t>
        </is>
      </c>
      <c r="D43" s="8" t="inlineStr">
        <is>
          <t>1. INSERT thêm dòng pending hoặc active cho cùng cặp (4 tổ hợp)</t>
        </is>
      </c>
      <c r="E43" s="8" t="inlineStr">
        <is>
          <t>pending+pending, pending+active, active+pending, active+active</t>
        </is>
      </c>
      <c r="F43" s="8" t="inlineStr">
        <is>
          <t>Cả 4 tổ hợp lỗi vi phạm caregiver_links_one_open_pair_idx; cặp vẫn 1 dòng</t>
        </is>
      </c>
      <c r="G43" s="8" t="inlineStr">
        <is>
          <t>Cả 4 bị từ chối bởi caregiver_links_one_open_pair_idx</t>
        </is>
      </c>
      <c r="H43" s="7" t="inlineStr">
        <is>
          <t>Pass</t>
        </is>
      </c>
      <c r="I43" s="8" t="inlineStr">
        <is>
          <t>AC22 · test_open_pair_unique__AC22[*]</t>
        </is>
      </c>
    </row>
    <row r="44" ht="41" customHeight="1">
      <c r="A44" s="7" t="inlineStr">
        <is>
          <t>TC-LINKREQ-36</t>
        </is>
      </c>
      <c r="B44" s="7" t="inlineStr">
        <is>
          <t>DB cho nhiều dòng rejected/revoked cùng cặp</t>
        </is>
      </c>
      <c r="C44" s="8" t="inlineStr">
        <is>
          <t>Cặp (P, F) chưa có dòng</t>
        </is>
      </c>
      <c r="D44" s="8" t="inlineStr">
        <is>
          <t>1. INSERT lần lượt rejected, rejected, revoked, revoked, rejected, pending</t>
        </is>
      </c>
      <c r="E44" s="8" t="inlineStr">
        <is>
          <t>6 dòng</t>
        </is>
      </c>
      <c r="F44" s="8" t="inlineStr">
        <is>
          <t>Cả 6 dòng được lưu theo đúng thứ tự</t>
        </is>
      </c>
      <c r="G44" s="8" t="inlineStr">
        <is>
          <t>6 dòng đúng thứ tự</t>
        </is>
      </c>
      <c r="H44" s="7" t="inlineStr">
        <is>
          <t>Pass</t>
        </is>
      </c>
      <c r="I44" s="8" t="inlineStr">
        <is>
          <t>AC22 · QD-30 · test_many_closed_rows_allowed__AC22</t>
        </is>
      </c>
    </row>
    <row r="45" ht="140" customHeight="1">
      <c r="A45" s="7" t="inlineStr">
        <is>
          <t>TC-LINKREQ-37</t>
        </is>
      </c>
      <c r="B45" s="7" t="inlineStr">
        <is>
          <t>Schema caregiver_links sau migration đúng thiết kế</t>
        </is>
      </c>
      <c r="C45" s="8" t="inlineStr">
        <is>
          <t>supabase db reset (12 migration)</t>
        </is>
      </c>
      <c r="D45" s="8" t="inlineStr">
        <is>
          <t>1. Đọc pg_constraint, pg_indexes, information_schema.columns của caregiver_links</t>
        </is>
      </c>
      <c r="E45" s="8" t="inlineStr">
        <is>
          <t>-</t>
        </is>
      </c>
      <c r="F45" s="8" t="inlineStr">
        <is>
          <t>Không còn UNIQUE (patient_user_id, family_user_id); có unique index một phần caregiver_links_one_open_pair_idx (pending, active) và caregiver_links_family_client_uuid_idx (client_uuid IS NOT NULL); có caregiver_links_pair_idx, caregiver_links_family_linked_at_idx; client_uuid cho phép NULL</t>
        </is>
      </c>
      <c r="G45" s="8" t="inlineStr">
        <is>
          <t>Đúng như mong đợi</t>
        </is>
      </c>
      <c r="H45" s="7" t="inlineStr">
        <is>
          <t>Pass</t>
        </is>
      </c>
      <c r="I45" s="8" t="inlineStr">
        <is>
          <t>AC22 · test_caregiver_links_schema_after_migration__AC22</t>
        </is>
      </c>
    </row>
    <row r="46" ht="57.5" customHeight="1">
      <c r="A46" s="7" t="inlineStr">
        <is>
          <t>TC-LINKREQ-38</t>
        </is>
      </c>
      <c r="B46" s="7" t="inlineStr">
        <is>
          <t>DB từ chối client_uuid trùng của cùng người thân</t>
        </is>
      </c>
      <c r="C46" s="8" t="inlineStr">
        <is>
          <t>F1 có dòng với client_uuid K</t>
        </is>
      </c>
      <c r="D46" s="8" t="inlineStr">
        <is>
          <t>1. INSERT dòng khác của F1 với K
2. INSERT dòng của F2 với K
3. INSERT các dòng client_uuid NULL</t>
        </is>
      </c>
      <c r="E46" s="8" t="inlineStr">
        <is>
          <t>client_uuid = K</t>
        </is>
      </c>
      <c r="F46" s="8" t="inlineStr">
        <is>
          <t>Dòng thứ hai của F1 lỗi vi phạm caregiver_links_family_client_uuid_idx; dòng của F2 và dòng NULL được lưu</t>
        </is>
      </c>
      <c r="G46" s="8" t="inlineStr">
        <is>
          <t>Đúng như mong đợi</t>
        </is>
      </c>
      <c r="H46" s="7" t="inlineStr">
        <is>
          <t>Pass</t>
        </is>
      </c>
      <c r="I46" s="8" t="inlineStr">
        <is>
          <t>AC22 · AC29 · test_client_uuid_unique_per_family__AC22</t>
        </is>
      </c>
    </row>
    <row r="47" ht="74" customHeight="1">
      <c r="A47" s="7" t="inlineStr">
        <is>
          <t>TC-LINKREQ-39</t>
        </is>
      </c>
      <c r="B47" s="7" t="inlineStr">
        <is>
          <t>Migration giữ nguyên dữ liệu caregiver_links có sẵn</t>
        </is>
      </c>
      <c r="C47" s="8" t="inlineStr">
        <is>
          <t>DB reset về 20261013040307 (trước migration); 4 cặp pending, active, revoked, rejected theo schema cũ</t>
        </is>
      </c>
      <c r="D47" s="8" t="inlineStr">
        <is>
          <t>1. supabase migration up --local
2. So dữ liệu trước và sau
3. Thử chèn pending cho từng cặp
4. supabase db reset lại đầy đủ</t>
        </is>
      </c>
      <c r="E47" s="8" t="inlineStr">
        <is>
          <t>4 cặp mẫu</t>
        </is>
      </c>
      <c r="F47" s="8" t="inlineStr">
        <is>
          <t>Dữ liệu giữ nguyên, client_uuid NULL; pending thứ hai cho cặp pending/active bị từ chối; cặp rejected/revoked tạo được pending mới</t>
        </is>
      </c>
      <c r="G47" s="8" t="inlineStr">
        <is>
          <t>11/11 OK</t>
        </is>
      </c>
      <c r="H47" s="7" t="inlineStr">
        <is>
          <t>Pass</t>
        </is>
      </c>
      <c r="I47" s="8" t="inlineStr">
        <is>
          <t>AC22 · Chuyển trạng thái (schema cũ → mới) · scratch/verify_caregiver_links_migration.py</t>
        </is>
      </c>
    </row>
    <row r="48" ht="57.5" customHeight="1">
      <c r="A48" s="7" t="inlineStr">
        <is>
          <t>TC-LINKREQ-40</t>
        </is>
      </c>
      <c r="B48" s="7" t="inlineStr">
        <is>
          <t>api_role chỉ đọc và thêm được lượt sai</t>
        </is>
      </c>
      <c r="C48" s="8" t="inlineStr">
        <is>
          <t>Kết nối bằng api_role; mỗi thao tác trong transaction riêng rồi rollback</t>
        </is>
      </c>
      <c r="D48" s="8" t="inlineStr">
        <is>
          <t>1. SELECT, INSERT, UPDATE, DELETE trên link_request_attempts bằng api_role</t>
        </is>
      </c>
      <c r="E48" s="8" t="inlineStr">
        <is>
          <t>-</t>
        </is>
      </c>
      <c r="F48" s="8" t="inlineStr">
        <is>
          <t>SELECT (thấy dòng, RLS không chặn), INSERT thành công; UPDATE, DELETE bị từ chối (permission denied)</t>
        </is>
      </c>
      <c r="G48" s="8" t="inlineStr">
        <is>
          <t>Đúng như mong đợi</t>
        </is>
      </c>
      <c r="H48" s="7" t="inlineStr">
        <is>
          <t>Pass</t>
        </is>
      </c>
      <c r="I48" s="8" t="inlineStr">
        <is>
          <t>AC23 · test_role_grants_on_attempts__AC23[api_role-*]</t>
        </is>
      </c>
    </row>
    <row r="49" ht="57.5" customHeight="1">
      <c r="A49" s="7" t="inlineStr">
        <is>
          <t>TC-LINKREQ-41</t>
        </is>
      </c>
      <c r="B49" s="7" t="inlineStr">
        <is>
          <t>worker_role chỉ đọc và xóa được lượt sai</t>
        </is>
      </c>
      <c r="C49" s="8" t="inlineStr">
        <is>
          <t>Kết nối bằng worker_role; mỗi thao tác trong transaction riêng rồi rollback</t>
        </is>
      </c>
      <c r="D49" s="8" t="inlineStr">
        <is>
          <t>1. SELECT, INSERT, UPDATE, DELETE trên link_request_attempts bằng worker_role</t>
        </is>
      </c>
      <c r="E49" s="8" t="inlineStr">
        <is>
          <t>-</t>
        </is>
      </c>
      <c r="F49" s="8" t="inlineStr">
        <is>
          <t>SELECT, DELETE thành công (đúng 1 dòng); INSERT, UPDATE bị từ chối (permission denied)</t>
        </is>
      </c>
      <c r="G49" s="8" t="inlineStr">
        <is>
          <t>Đúng như mong đợi</t>
        </is>
      </c>
      <c r="H49" s="7" t="inlineStr">
        <is>
          <t>Pass</t>
        </is>
      </c>
      <c r="I49" s="8" t="inlineStr">
        <is>
          <t>AC23 · test_role_grants_on_attempts__AC23[worker_role-*]</t>
        </is>
      </c>
    </row>
    <row r="50" ht="74" customHeight="1">
      <c r="A50" s="7" t="inlineStr">
        <is>
          <t>TC-LINKREQ-42</t>
        </is>
      </c>
      <c r="B50" s="7" t="inlineStr">
        <is>
          <t>anon, authenticated không có quyền trên bảng lượt sai; RLS bật</t>
        </is>
      </c>
      <c r="C50" s="8" t="inlineStr">
        <is>
          <t>supabase db reset</t>
        </is>
      </c>
      <c r="D50" s="8" t="inlineStr">
        <is>
          <t>1. Đọc relrowsecurity, has_table_privilege, pg_policies của link_request_attempts</t>
        </is>
      </c>
      <c r="E50" s="8" t="inlineStr">
        <is>
          <t>-</t>
        </is>
      </c>
      <c r="F50" s="8" t="inlineStr">
        <is>
          <t>RLS bật; anon, authenticated không có quyền nào; service_role không INSERT/UPDATE/DELETE/TRUNCATE; policy chỉ cho api_role, worker_role</t>
        </is>
      </c>
      <c r="G50" s="8" t="inlineStr">
        <is>
          <t>Đúng như mong đợi</t>
        </is>
      </c>
      <c r="H50" s="7" t="inlineStr">
        <is>
          <t>Pass</t>
        </is>
      </c>
      <c r="I50" s="8" t="inlineStr">
        <is>
          <t>AC23 · test_anon_authenticated_no_access__AC23, test_locked_until_must_follow_attempt__AC23</t>
        </is>
      </c>
    </row>
    <row r="51" ht="90.5" customHeight="1">
      <c r="A51" s="7" t="inlineStr">
        <is>
          <t>TC-LINKREQ-43</t>
        </is>
      </c>
      <c r="B51" s="7" t="inlineStr">
        <is>
          <t>OpenAPI của app khớp hợp đồng api_contract</t>
        </is>
      </c>
      <c r="C51" s="8" t="inlineStr">
        <is>
          <t>api_contract/openapi.json có POST /family/link-requests</t>
        </is>
      </c>
      <c r="D51" s="8" t="inlineStr">
        <is>
          <t>1. So operationId, tập response code, schema request/response và tham số giữa app và contract</t>
        </is>
      </c>
      <c r="E51" s="8" t="inlineStr">
        <is>
          <t>-</t>
        </is>
      </c>
      <c r="F51" s="8" t="inlineStr">
        <is>
          <t>operationId createLinkRequest; response 200/201/401/403/404/409/422/429 khớp; LinkRequestCreate và LinkRequest additionalProperties false; status enum đủ 4 giá trị; không có tham số header riêng</t>
        </is>
      </c>
      <c r="G51" s="8" t="inlineStr">
        <is>
          <t>Khớp</t>
        </is>
      </c>
      <c r="H51" s="7" t="inlineStr">
        <is>
          <t>Pass</t>
        </is>
      </c>
      <c r="I51" s="8" t="inlineStr">
        <is>
          <t>AC21 · test_create_link_request_matches_contract__AC21, test_link_request_schemas_match_contract__AC21, test_link_code_403_documented__AC32</t>
        </is>
      </c>
    </row>
    <row r="52" ht="90.5" customHeight="1">
      <c r="A52" s="7" t="inlineStr">
        <is>
          <t>TC-LINKREQ-44</t>
        </is>
      </c>
      <c r="B52" s="7" t="inlineStr">
        <is>
          <t>Unit test, architecture test và ruff trên file của task pass</t>
        </is>
      </c>
      <c r="C52" s="8" t="inlineStr">
        <is>
          <t>backend trên nhánh feat/3.13-backend-post-links</t>
        </is>
      </c>
      <c r="D52" s="8" t="inlineStr">
        <is>
          <t>1. pytest tests/unit tests/architecture -q
2. ruff check và ruff format --check trên file của task
3. lint-imports
4. So với baseline trước khi sửa code</t>
        </is>
      </c>
      <c r="E52" s="8" t="inlineStr">
        <is>
          <t>-</t>
        </is>
      </c>
      <c r="F52" s="8" t="inlineStr">
        <is>
          <t>Không có fail mới so với baseline (lỗi có sẵn trên main được loại trừ theo AC24); file của task pass ruff; ma trận ALLOWED không đổi</t>
        </is>
      </c>
      <c r="G52" s="8" t="inlineStr">
        <is>
          <t>885 passed, 18 failed: đúng 18 test profile đã fail ở baseline; ruff file của task đạt (trừ config.py dòng 13 có sẵn); contract import của family KEPT</t>
        </is>
      </c>
      <c r="H52" s="7" t="inlineStr">
        <is>
          <t>Pass</t>
        </is>
      </c>
      <c r="I52" s="8" t="inlineStr">
        <is>
          <t>AC24 · implement-baseline-unit.log, implement-final-backend.log</t>
        </is>
      </c>
    </row>
    <row r="53" ht="74" customHeight="1">
      <c r="A53" s="7" t="inlineStr">
        <is>
          <t>TC-LINKREQ-45</t>
        </is>
      </c>
      <c r="B53" s="7" t="inlineStr">
        <is>
          <t>Sổ quyết định có BS-04, BS-05 và ghi chú QD-34 (g)</t>
        </is>
      </c>
      <c r="C53" s="8" t="inlineStr">
        <is>
          <t>docs trên nhánh feat/3.13-backend-post-links</t>
        </is>
      </c>
      <c r="D53" s="8" t="inlineStr">
        <is>
          <t>1. git -C docs diff Team1_DTU/02_Requirements/drugtime_quyet_dinh_theo_chuc_nang.md
2. Đọc dòng QD-34, BS-04, BS-05 trong §8</t>
        </is>
      </c>
      <c r="E53" s="8" t="inlineStr">
        <is>
          <t>-</t>
        </is>
      </c>
      <c r="F53" s="8" t="inlineStr">
        <is>
          <t>Có 2 dòng 🆕 BS-04, BS-05 với nội dung khớp mục 4 của 01-requirement; dòng QD-34 ghi (g) thay bằng BS-04; diff chỉ trong §8</t>
        </is>
      </c>
      <c r="G53" s="8" t="inlineStr">
        <is>
          <t>Diff chỉ ở dòng 201–203 (trong §8, dòng 195–215); BS-04, BS-05 🆕 khớp mục 4 của 01; dòng QD-34 ghi phần chờ 24 giờ thay bằng BS-04; §18 không đổi</t>
        </is>
      </c>
      <c r="H53" s="7" t="inlineStr">
        <is>
          <t>Pass</t>
        </is>
      </c>
      <c r="I53" s="8" t="inlineStr">
        <is>
          <t>AC35 · manual</t>
        </is>
      </c>
    </row>
    <row r="54" ht="140" customHeight="1">
      <c r="A54" s="7" t="inlineStr">
        <is>
          <t>TC-LINKREQ-46</t>
        </is>
      </c>
      <c r="B54" s="7" t="inlineStr">
        <is>
          <t>Request nhập sai đồng thời vượt sức chứa pool không làm treo API</t>
        </is>
      </c>
      <c r="C54" s="8" t="inlineStr">
        <is>
          <t>Người thân F chưa sai lần nào; người dùng khác U đã đồng ý family_sharing; pool kết nối chính của API 5 + 10 = 15</t>
        </is>
      </c>
      <c r="D54" s="8" t="inlineStr">
        <is>
          <t>1. Giữ khóa người gửi của F bằng kết nối quản trị
2. Gửi 20 request với 20 mã sai khác nhau trong 20 thread; chờ tới khi 15 phiên api_role đang đợi khóa (pool chính đã hết)
3. Nhả khóa; ngay sau đó U gọi GET /family/link-code
4. Đợi các request trả về; đếm lượt sai</t>
        </is>
      </c>
      <c r="E54" s="8" t="inlineStr">
        <is>
          <t>20 mã ngẫu nhiên không tồn tại</t>
        </is>
      </c>
      <c r="F54" s="8" t="inlineStr">
        <is>
          <t>U nhận 200 dưới 10 giây; không request nào 500; đúng 5 × 404 và 15 × 429; DB có đúng 5 lượt sai</t>
        </is>
      </c>
      <c r="G54" s="8" t="inlineStr">
        <is>
          <t>Đúng như mong đợi; lặp 5 lần đều pass. Khi tạm trả record_failure về pool chính (như trước bản sửa), test fail: QueuePool limit of size 5 overflow 10 reached, timeout 30.00</t>
        </is>
      </c>
      <c r="H54" s="7" t="inlineStr">
        <is>
          <t>Pass</t>
        </is>
      </c>
      <c r="I54" s="8" t="inlineStr">
        <is>
          <t>AC13 · Hồi quy H1 của review · Đoán lỗi (bấm liên tục, tải cao) · test_burst_beyond_pool_no_500__AC13, test_failure_engine_is_separate_small_pool__AC13</t>
        </is>
      </c>
    </row>
    <row r="55" ht="74" customHeight="1">
      <c r="A55" s="7" t="inlineStr">
        <is>
          <t>TC-LINKREQ-BVA-01</t>
        </is>
      </c>
      <c r="B55" s="7" t="inlineStr">
        <is>
          <t>Sai lần thứ 4 trong 15 phút chưa khóa tài khoản</t>
        </is>
      </c>
      <c r="C55" s="8" t="inlineStr">
        <is>
          <t>Người thân F; app cố định giờ T</t>
        </is>
      </c>
      <c r="D55" s="8" t="inlineStr">
        <is>
          <t>1. POST /family/link-requests với phiên của F, body {client_uuid, code} 4 lần với mã sai (T, T+1, T+2, T+3 phút)
2. Đọc lượt sai của F</t>
        </is>
      </c>
      <c r="E55" s="8" t="inlineStr">
        <is>
          <t>4 mã sai</t>
        </is>
      </c>
      <c r="F55" s="8" t="inlineStr">
        <is>
          <t>Cả 4 lần 404; account_locked_until của 4 dòng đều NULL</t>
        </is>
      </c>
      <c r="G55" s="8" t="inlineStr">
        <is>
          <t>4 × 404; 4 dòng locked_until NULL</t>
        </is>
      </c>
      <c r="H55" s="7" t="inlineStr">
        <is>
          <t>Pass</t>
        </is>
      </c>
      <c r="I55" s="8" t="inlineStr">
        <is>
          <t>AC10 · BVA (max-1 = 4) · test_fifth_failure_locks_then_unlocks__AC10, test_fourth_failure_does_not_lock</t>
        </is>
      </c>
    </row>
    <row r="56" ht="107" customHeight="1">
      <c r="A56" s="7" t="inlineStr">
        <is>
          <t>TC-LINKREQ-BVA-02</t>
        </is>
      </c>
      <c r="B56" s="7" t="inlineStr">
        <is>
          <t>Sai lần thứ 5 trong 15 phút khóa tài khoản 15 phút</t>
        </is>
      </c>
      <c r="C56" s="8" t="inlineStr">
        <is>
          <t>F đã sai 4 lần trong 15 phút</t>
        </is>
      </c>
      <c r="D56" s="8" t="inlineStr">
        <is>
          <t>1. POST /family/link-requests với phiên của F, body {client_uuid, code} với mã sai lúc T5 = T+10 phút
2. Đọc lượt sai của F
3. Gửi mã đúng C lúc T5 + 1 phút</t>
        </is>
      </c>
      <c r="E56" s="8" t="inlineStr">
        <is>
          <t>Mã sai thứ 5; rồi mã đúng C</t>
        </is>
      </c>
      <c r="F56" s="8" t="inlineStr">
        <is>
          <t>Lần 5: 404, dòng có account_locked_until = T5 + 15 phút; mã đúng: 429 {"detail": "link_request_locked"}, Retry-After: 840, không tạo dòng, không tính thêm lần sai</t>
        </is>
      </c>
      <c r="G56" s="8" t="inlineStr">
        <is>
          <t>404; locked_until = T5+15'; 429 link_request_locked, Retry-After 840; vẫn 5 lượt sai</t>
        </is>
      </c>
      <c r="H56" s="7" t="inlineStr">
        <is>
          <t>Pass</t>
        </is>
      </c>
      <c r="I56" s="8" t="inlineStr">
        <is>
          <t>AC10 · BVA (max = 5) · Decision Table (R3) · test_fifth_failure_locks_then_unlocks__AC10, test_fifth_failure_locks_account__AC10, test_locked_until_is_15_min_after_fifth__AC10</t>
        </is>
      </c>
    </row>
    <row r="57" ht="74" customHeight="1">
      <c r="A57" s="7" t="inlineStr">
        <is>
          <t>TC-LINKREQ-BVA-03</t>
        </is>
      </c>
      <c r="B57" s="7" t="inlineStr">
        <is>
          <t>Còn khóa nửa giây trước khi hết 15 phút</t>
        </is>
      </c>
      <c r="C57" s="8" t="inlineStr">
        <is>
          <t>F bị khóa lúc T5</t>
        </is>
      </c>
      <c r="D57" s="8" t="inlineStr">
        <is>
          <t>1. POST /family/link-requests với phiên của F, body {client_uuid, code} với mã đúng lúc T5 + 899,5 giây</t>
        </is>
      </c>
      <c r="E57" s="8" t="inlineStr">
        <is>
          <t>Mã đúng C</t>
        </is>
      </c>
      <c r="F57" s="8" t="inlineStr">
        <is>
          <t>429 link_request_locked, Retry-After: 1 (làm tròn lên, tối thiểu 1)</t>
        </is>
      </c>
      <c r="G57" s="8" t="inlineStr">
        <is>
          <t>429, Retry-After 1</t>
        </is>
      </c>
      <c r="H57" s="7" t="inlineStr">
        <is>
          <t>Pass</t>
        </is>
      </c>
      <c r="I57" s="8" t="inlineStr">
        <is>
          <t>AC10 · BVA (max-1) · test_fifth_failure_locks_then_unlocks__AC10, test_retry_after_rounds_up_min_1</t>
        </is>
      </c>
    </row>
    <row r="58" ht="74" customHeight="1">
      <c r="A58" s="7" t="inlineStr">
        <is>
          <t>TC-LINKREQ-BVA-04</t>
        </is>
      </c>
      <c r="B58" s="7" t="inlineStr">
        <is>
          <t>Hết khóa đúng 15 phút sau lần sai thứ 5</t>
        </is>
      </c>
      <c r="C58" s="8" t="inlineStr">
        <is>
          <t>F bị khóa lúc T5</t>
        </is>
      </c>
      <c r="D58" s="8" t="inlineStr">
        <is>
          <t>1. POST /family/link-requests với phiên của F, body {client_uuid, code} với mã đúng lúc T5 + 15 phút</t>
        </is>
      </c>
      <c r="E58" s="8" t="inlineStr">
        <is>
          <t>Mã đúng C</t>
        </is>
      </c>
      <c r="F58" s="8" t="inlineStr">
        <is>
          <t>201, tạo yêu cầu pending</t>
        </is>
      </c>
      <c r="G58" s="8" t="inlineStr">
        <is>
          <t>201</t>
        </is>
      </c>
      <c r="H58" s="7" t="inlineStr">
        <is>
          <t>Pass</t>
        </is>
      </c>
      <c r="I58" s="8" t="inlineStr">
        <is>
          <t>AC10 · BVA (max) · test_fifth_failure_locks_then_unlocks__AC10, test_expired_lock_does_not_block__AC10</t>
        </is>
      </c>
    </row>
    <row r="59" ht="74" customHeight="1">
      <c r="A59" s="7" t="inlineStr">
        <is>
          <t>TC-LINKREQ-BVA-05</t>
        </is>
      </c>
      <c r="B59" s="7" t="inlineStr">
        <is>
          <t>Lần sai đã quá 15 phút không được tính</t>
        </is>
      </c>
      <c r="C59" s="8" t="inlineStr">
        <is>
          <t>F có 4 lần sai, lần đầu đã quá 15 phút (unit, fake repository)</t>
        </is>
      </c>
      <c r="D59" s="8" t="inlineStr">
        <is>
          <t>1. Tính on_failure cho một lần sai mới</t>
        </is>
      </c>
      <c r="E59" s="8" t="inlineStr">
        <is>
          <t>failures_in_window = 3 (lần đầu ngoài cửa sổ)</t>
        </is>
      </c>
      <c r="F59" s="8" t="inlineStr">
        <is>
          <t>Chưa khóa (None); adapter chỉ quét attempted_at &gt; now − 15 phút</t>
        </is>
      </c>
      <c r="G59" s="8" t="inlineStr">
        <is>
          <t>None; câu SQL lọc đúng mốc</t>
        </is>
      </c>
      <c r="H59" s="7" t="inlineStr">
        <is>
          <t>Pass</t>
        </is>
      </c>
      <c r="I59" s="8" t="inlineStr">
        <is>
          <t>AC11 · BVA (cửa sổ trượt) · test_old_failures_outside_window_not_counted__AC11, test_state_scans_only_window__AC11</t>
        </is>
      </c>
    </row>
    <row r="60" ht="107" customHeight="1">
      <c r="A60" s="7" t="inlineStr">
        <is>
          <t>TC-LINKREQ-BVA-06</t>
        </is>
      </c>
      <c r="B60" s="7" t="inlineStr">
        <is>
          <t>Yêu cầu thứ 10 trong ngày được tạo, thứ 11 bị chặn</t>
        </is>
      </c>
      <c r="C60" s="8" t="inlineStr">
        <is>
          <t>Người thân F có 9 yêu cầu tạo hôm nay (giờ VN), 1 yêu cầu lúc 23:59:59 hôm qua; app cố định lúc 12:00 giờ VN</t>
        </is>
      </c>
      <c r="D60" s="8" t="inlineStr">
        <is>
          <t>1. Gửi một yêu cầu bị 409 và một mã sai (404)
2. Gửi mã của người bệnh thứ 10
3. Gửi mã của người bệnh thứ 11</t>
        </is>
      </c>
      <c r="E60" s="8" t="inlineStr">
        <is>
          <t>Người bệnh thứ 10, 11 đều có mã và consent</t>
        </is>
      </c>
      <c r="F60" s="8" t="inlineStr">
        <is>
          <t>409 và 404 không tính; yêu cầu thứ 10: 201; thứ 11: 429 {"detail": "link_request_daily_limit"}, Retry-After = 43200 (tới 00:00 giờ VN hôm sau), không tạo dòng</t>
        </is>
      </c>
      <c r="G60" s="8" t="inlineStr">
        <is>
          <t>409, 404; 201; 429 link_request_daily_limit, Retry-After 43200; không có dòng</t>
        </is>
      </c>
      <c r="H60" s="7" t="inlineStr">
        <is>
          <t>Pass</t>
        </is>
      </c>
      <c r="I60" s="8" t="inlineStr">
        <is>
          <t>AC14 · QD-34 (e) · BVA (max = 10, max+1 = 11) · Decision Table (R4) · test_daily_limit__AC14, test_ninth_and_tenth_request_allowed__AC14, test_daily_limit_before_lookup__AC14</t>
        </is>
      </c>
    </row>
    <row r="61" ht="74" customHeight="1">
      <c r="A61" s="7" t="inlineStr">
        <is>
          <t>TC-LINKREQ-BVA-07</t>
        </is>
      </c>
      <c r="B61" s="7" t="inlineStr">
        <is>
          <t>Sang 00:00 giờ VN hôm sau gửi lại được</t>
        </is>
      </c>
      <c r="C61" s="8" t="inlineStr">
        <is>
          <t>Như BVA-06, F đã bị chặn ở yêu cầu thứ 11</t>
        </is>
      </c>
      <c r="D61" s="8" t="inlineStr">
        <is>
          <t>1. App chuyển sang 00:00 giờ VN hôm sau
2. Gửi lại mã của người bệnh thứ 11</t>
        </is>
      </c>
      <c r="E61" s="8" t="inlineStr">
        <is>
          <t>now = 00:00:00 giờ VN hôm sau</t>
        </is>
      </c>
      <c r="F61" s="8" t="inlineStr">
        <is>
          <t>201</t>
        </is>
      </c>
      <c r="G61" s="8" t="inlineStr">
        <is>
          <t>201</t>
        </is>
      </c>
      <c r="H61" s="7" t="inlineStr">
        <is>
          <t>Pass</t>
        </is>
      </c>
      <c r="I61" s="8" t="inlineStr">
        <is>
          <t>AC14 · BVA (ranh giới ngày 23:59:59 / 00:00:00) · test_daily_limit__AC14, test_vn_day_start_and_next_midnight__AC14</t>
        </is>
      </c>
    </row>
    <row r="62" ht="107" customHeight="1">
      <c r="A62" s="7" t="inlineStr">
        <is>
          <t>TC-LINKREQ-BVA-08</t>
        </is>
      </c>
      <c r="B62" s="7" t="inlineStr">
        <is>
          <t>Bị từ chối lần thứ 5 liên tiếp thì bị chặn, còn 60 giây lúc T + 23 giờ 59 phút</t>
        </is>
      </c>
      <c r="C62" s="8" t="inlineStr">
        <is>
          <t>Người bệnh P đã đồng ý family_sharing và lấy mã C qua GET /family/link-code; P từ chối F 5 lần liên tiếp, lần thứ 5 lúc T</t>
        </is>
      </c>
      <c r="D62" s="8" t="inlineStr">
        <is>
          <t>1. POST /family/link-requests với phiên của F, body {client_uuid, code} lúc T + 23 giờ 59 phút
2. Đọc caregiver_links và lượt sai</t>
        </is>
      </c>
      <c r="E62" s="8" t="inlineStr">
        <is>
          <t>code = C</t>
        </is>
      </c>
      <c r="F62" s="8" t="inlineStr">
        <is>
          <t>429 {"detail": "link_request_cooldown"}, Retry-After: 60; không tạo dòng, không tính lần sai</t>
        </is>
      </c>
      <c r="G62" s="8" t="inlineStr">
        <is>
          <t>429 link_request_cooldown, Retry-After 60; không có dòng mới, không có lượt sai</t>
        </is>
      </c>
      <c r="H62" s="7" t="inlineStr">
        <is>
          <t>Pass</t>
        </is>
      </c>
      <c r="I62" s="8" t="inlineStr">
        <is>
          <t>AC8b · BS-04 · BVA (max = 5 lần, 24h−1 phút) · Decision Table (R10) · test_fifth_rejection_blocks_24h__AC8b, test_streak_5_blocked_until_24h__AC8b, test_cooldown_429__AC8b</t>
        </is>
      </c>
    </row>
    <row r="63" ht="57.5" customHeight="1">
      <c r="A63" s="7" t="inlineStr">
        <is>
          <t>TC-LINKREQ-BVA-09</t>
        </is>
      </c>
      <c r="B63" s="7" t="inlineStr">
        <is>
          <t>Hết chặn đúng 24 giờ sau lần từ chối thứ 5</t>
        </is>
      </c>
      <c r="C63" s="8" t="inlineStr">
        <is>
          <t>Như BVA-08</t>
        </is>
      </c>
      <c r="D63" s="8" t="inlineStr">
        <is>
          <t>1. POST /family/link-requests với phiên của F, body {client_uuid, code} lúc T + 24 giờ</t>
        </is>
      </c>
      <c r="E63" s="8" t="inlineStr">
        <is>
          <t>code = C</t>
        </is>
      </c>
      <c r="F63" s="8" t="inlineStr">
        <is>
          <t>201</t>
        </is>
      </c>
      <c r="G63" s="8" t="inlineStr">
        <is>
          <t>201</t>
        </is>
      </c>
      <c r="H63" s="7" t="inlineStr">
        <is>
          <t>Pass</t>
        </is>
      </c>
      <c r="I63" s="8" t="inlineStr">
        <is>
          <t>AC8b · BVA (24h) · test_fifth_rejection_blocks_24h__AC8b, test_cooldown_over_after_24h__AC8b</t>
        </is>
      </c>
    </row>
    <row r="64" ht="90.5" customHeight="1">
      <c r="A64" s="7" t="inlineStr">
        <is>
          <t>TC-LINKREQ-BVA-10</t>
        </is>
      </c>
      <c r="B64" s="7" t="inlineStr">
        <is>
          <t>Bị từ chối lần thứ 6 (sau khi hết chặn) vẫn gửi lại được ngay</t>
        </is>
      </c>
      <c r="C64" s="8" t="inlineStr">
        <is>
          <t>Người bệnh P đã đồng ý family_sharing và lấy mã C qua GET /family/link-code; P từ chối F 5 lần (đã quá 24 giờ), F gửi lại và bị từ chối lần 6</t>
        </is>
      </c>
      <c r="D64" s="8" t="inlineStr">
        <is>
          <t>1. POST /family/link-requests với phiên của F, body {client_uuid, code}</t>
        </is>
      </c>
      <c r="E64" s="8" t="inlineStr">
        <is>
          <t>code = C</t>
        </is>
      </c>
      <c r="F64" s="8" t="inlineStr">
        <is>
          <t>201 (bộ đếm coi như về 0)</t>
        </is>
      </c>
      <c r="G64" s="8" t="inlineStr">
        <is>
          <t>201</t>
        </is>
      </c>
      <c r="H64" s="7" t="inlineStr">
        <is>
          <t>Pass</t>
        </is>
      </c>
      <c r="I64" s="8" t="inlineStr">
        <is>
          <t>AC8b · BVA (max+1 = 6) · test_block_expired_counter_resets__AC8b, test_streak_6_not_blocked__AC8b, test_streak_10_blocked__AC8b</t>
        </is>
      </c>
    </row>
    <row r="65" ht="107" customHeight="1">
      <c r="A65" s="7" t="inlineStr">
        <is>
          <t>TC-LINKREQ-BVA-11</t>
        </is>
      </c>
      <c r="B65" s="7" t="inlineStr">
        <is>
          <t>Được chấp thuận giữa chừng làm bộ đếm từ chối về 0</t>
        </is>
      </c>
      <c r="C65" s="8" t="inlineStr">
        <is>
          <t>Người bệnh P đã đồng ý family_sharing và lấy mã C qua GET /family/link-code; lịch sử cặp: 3 lần rejected, 1 lần được chấp thuận rồi bị hủy (revoked), 4 lần rejected</t>
        </is>
      </c>
      <c r="D65" s="8" t="inlineStr">
        <is>
          <t>1. POST /family/link-requests với phiên của F, body {client_uuid, code}</t>
        </is>
      </c>
      <c r="E65" s="8" t="inlineStr">
        <is>
          <t>code = C</t>
        </is>
      </c>
      <c r="F65" s="8" t="inlineStr">
        <is>
          <t>201 (chuỗi từ chối liên tiếp chỉ là 4)</t>
        </is>
      </c>
      <c r="G65" s="8" t="inlineStr">
        <is>
          <t>201</t>
        </is>
      </c>
      <c r="H65" s="7" t="inlineStr">
        <is>
          <t>Pass</t>
        </is>
      </c>
      <c r="I65" s="8" t="inlineStr">
        <is>
          <t>AC8b · Chuyển trạng thái (rejected → active → revoked → rejected) · test_approval_resets_streak__AC8b</t>
        </is>
      </c>
    </row>
    <row r="66" ht="74" customHeight="1">
      <c r="A66" s="7" t="inlineStr">
        <is>
          <t>TC-LINKREQ-BVA-12</t>
        </is>
      </c>
      <c r="B66" s="7" t="inlineStr">
        <is>
          <t>Người thân khác không bị ảnh hưởng bởi bộ đếm từ chối của F</t>
        </is>
      </c>
      <c r="C66" s="8" t="inlineStr">
        <is>
          <t>Người bệnh P đã đồng ý family_sharing và lấy mã C qua GET /family/link-code; P từ chối F 5 lần liên tiếp vừa xong</t>
        </is>
      </c>
      <c r="D66" s="8" t="inlineStr">
        <is>
          <t>1. F gửi C
2. F2 gửi C</t>
        </is>
      </c>
      <c r="E66" s="8" t="inlineStr">
        <is>
          <t>code = C</t>
        </is>
      </c>
      <c r="F66" s="8" t="inlineStr">
        <is>
          <t>F: 429 link_request_cooldown; F2: 201</t>
        </is>
      </c>
      <c r="G66" s="8" t="inlineStr">
        <is>
          <t>F 429; F2 201</t>
        </is>
      </c>
      <c r="H66" s="7" t="inlineStr">
        <is>
          <t>Pass</t>
        </is>
      </c>
      <c r="I66" s="8" t="inlineStr">
        <is>
          <t>AC8b · test_other_family_unaffected__AC8b</t>
        </is>
      </c>
    </row>
    <row r="67" ht="57.5" customHeight="1">
      <c r="A67" s="7" t="inlineStr">
        <is>
          <t>TC-LINKREQ-BVA-13</t>
        </is>
      </c>
      <c r="B67" s="7" t="inlineStr">
        <is>
          <t>Mã 9 ký tự bị từ chối</t>
        </is>
      </c>
      <c r="C67" s="8" t="inlineStr">
        <is>
          <t>Người thân F đăng nhập</t>
        </is>
      </c>
      <c r="D67" s="8" t="inlineStr">
        <is>
          <t>1. POST /family/link-requests với phiên của F, body {client_uuid, code}</t>
        </is>
      </c>
      <c r="E67" s="8" t="inlineStr">
        <is>
          <t>code = K7M2Q9XAR</t>
        </is>
      </c>
      <c r="F67" s="8" t="inlineStr">
        <is>
          <t>422 mảng lỗi field; không tính lần sai</t>
        </is>
      </c>
      <c r="G67" s="8" t="inlineStr">
        <is>
          <t>422; không có lượt sai</t>
        </is>
      </c>
      <c r="H67" s="7" t="inlineStr">
        <is>
          <t>Pass</t>
        </is>
      </c>
      <c r="I67" s="8" t="inlineStr">
        <is>
          <t>AC20 · BVA (min-1) · EP (13) · test_validation_422_not_counted__AC20[9-ky-tu]</t>
        </is>
      </c>
    </row>
    <row r="68" ht="57.5" customHeight="1">
      <c r="A68" s="7" t="inlineStr">
        <is>
          <t>TC-LINKREQ-BVA-14</t>
        </is>
      </c>
      <c r="B68" s="7" t="inlineStr">
        <is>
          <t>Mã đúng 10 ký tự được chấp nhận</t>
        </is>
      </c>
      <c r="C68" s="8" t="inlineStr">
        <is>
          <t>Người bệnh P đã đồng ý family_sharing và lấy mã C qua GET /family/link-code</t>
        </is>
      </c>
      <c r="D68" s="8" t="inlineStr">
        <is>
          <t>1. POST /family/link-requests với phiên của F, body {client_uuid, code}</t>
        </is>
      </c>
      <c r="E68" s="8" t="inlineStr">
        <is>
          <t>code = C (10 ký tự)</t>
        </is>
      </c>
      <c r="F68" s="8" t="inlineStr">
        <is>
          <t>201</t>
        </is>
      </c>
      <c r="G68" s="8" t="inlineStr">
        <is>
          <t>201</t>
        </is>
      </c>
      <c r="H68" s="7" t="inlineStr">
        <is>
          <t>Pass</t>
        </is>
      </c>
      <c r="I68" s="8" t="inlineStr">
        <is>
          <t>AC20 · BVA (min = max = 10) · EP (2) · test_creates_pending_without_profile__AC1</t>
        </is>
      </c>
    </row>
    <row r="69" ht="57.5" customHeight="1">
      <c r="A69" s="7" t="inlineStr">
        <is>
          <t>TC-LINKREQ-BVA-15</t>
        </is>
      </c>
      <c r="B69" s="7" t="inlineStr">
        <is>
          <t>Mã 11 ký tự bị từ chối</t>
        </is>
      </c>
      <c r="C69" s="8" t="inlineStr">
        <is>
          <t>Người thân F đăng nhập</t>
        </is>
      </c>
      <c r="D69" s="8" t="inlineStr">
        <is>
          <t>1. POST /family/link-requests với phiên của F, body {client_uuid, code}</t>
        </is>
      </c>
      <c r="E69" s="8" t="inlineStr">
        <is>
          <t>code = K7M2Q9XAR44</t>
        </is>
      </c>
      <c r="F69" s="8" t="inlineStr">
        <is>
          <t>422 mảng lỗi field; không tính lần sai</t>
        </is>
      </c>
      <c r="G69" s="8" t="inlineStr">
        <is>
          <t>422; không có lượt sai</t>
        </is>
      </c>
      <c r="H69" s="7" t="inlineStr">
        <is>
          <t>Pass</t>
        </is>
      </c>
      <c r="I69" s="8" t="inlineStr">
        <is>
          <t>AC20 · BVA (max+1) · EP (14) · test_validation_422_not_counted__AC20[11-ky-tu]</t>
        </is>
      </c>
    </row>
    <row r="70"/>
    <row r="71"/>
    <row r="72">
      <c r="G72" s="12" t="inlineStr">
        <is>
          <t>Pass</t>
        </is>
      </c>
      <c r="H72" s="13">
        <f>COUNTIF(H9:H69,"Pass")</f>
        <v/>
      </c>
    </row>
    <row r="73">
      <c r="G73" s="12" t="inlineStr">
        <is>
          <t>Fail</t>
        </is>
      </c>
      <c r="H73" s="13">
        <f>COUNTIF(H9:H69,"Fail")</f>
        <v/>
      </c>
    </row>
    <row r="74">
      <c r="G74" s="12" t="inlineStr">
        <is>
          <t>Pending</t>
        </is>
      </c>
      <c r="H74" s="13">
        <f>COUNTIF(H9:H69,"Pending")</f>
        <v/>
      </c>
    </row>
    <row r="75">
      <c r="G75" s="12" t="inlineStr">
        <is>
          <t>Total</t>
        </is>
      </c>
      <c r="H75" s="13">
        <f>SUM(H72:H74)</f>
        <v/>
      </c>
    </row>
  </sheetData>
  <autoFilter ref="A8:I69"/>
  <conditionalFormatting sqref="H9:H69">
    <cfRule type="cellIs" priority="1" operator="equal" dxfId="0">
      <formula>"Fail"</formula>
    </cfRule>
  </conditionalFormatting>
  <dataValidations count="1">
    <dataValidation sqref="H9:H69" showDropDown="0" showInputMessage="0" showErrorMessage="0" allowBlank="0" type="list">
      <formula1>"Pass,Fail,Pending"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9"/>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s>
  <sheetData>
    <row r="1">
      <c r="A1" s="1" t="inlineStr">
        <is>
          <t>Project Name</t>
        </is>
      </c>
      <c r="B1" s="2" t="inlineStr">
        <is>
          <t>DrugTime</t>
        </is>
      </c>
    </row>
    <row r="2">
      <c r="A2" s="1" t="inlineStr">
        <is>
          <t>Module Name</t>
        </is>
      </c>
      <c r="B2" s="2" t="inlineStr">
        <is>
          <t>Theo dõi người thân bằng QR, mã hoặc link (mobile) (LINKFOLLOW)</t>
        </is>
      </c>
    </row>
    <row r="3">
      <c r="A3" s="1" t="inlineStr">
        <is>
          <t>Created By</t>
        </is>
      </c>
      <c r="B3" s="2" t="inlineStr">
        <is>
          <t>zannguyen</t>
        </is>
      </c>
    </row>
    <row r="4">
      <c r="A4" s="1" t="inlineStr">
        <is>
          <t>Creation Date</t>
        </is>
      </c>
      <c r="B4" s="21" t="n">
        <v>46315</v>
      </c>
    </row>
    <row r="5">
      <c r="A5" s="1" t="inlineStr">
        <is>
          <t>Reviewed By</t>
        </is>
      </c>
      <c r="B5" s="2" t="inlineStr"/>
    </row>
    <row r="6">
      <c r="A6" s="1" t="inlineStr">
        <is>
          <t>Reviewed Date</t>
        </is>
      </c>
      <c r="B6" s="2" t="n"/>
    </row>
    <row r="7">
      <c r="K7" s="4" t="inlineStr">
        <is>
          <t>Equivalence Partitioning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row>
    <row r="9" ht="123.5" customHeight="1">
      <c r="A9" s="7" t="inlineStr">
        <is>
          <t>TC-LINKFOLLOW-01</t>
        </is>
      </c>
      <c r="B9" s="7" t="inlineStr">
        <is>
          <t>Quét QR hợp lệ của patient và gửi yêu cầu</t>
        </is>
      </c>
      <c r="C9" s="8" t="inlineStr">
        <is>
          <t>Người thân đã đăng nhập, cấp quyền camera, đang ở màn Quét mã QR</t>
        </is>
      </c>
      <c r="D9" s="8" t="inlineStr">
        <is>
          <t>1. Tab Người thân → Theo dõi người thân → Quét mã QR
2. Đưa QR của patient vào khung</t>
        </is>
      </c>
      <c r="E9" s="8" t="inlineStr">
        <is>
          <t>drugtime://link?code=K7M2Q9XAR4</t>
        </is>
      </c>
      <c r="F9" s="8" t="inlineStr">
        <is>
          <t>App chuyển sang màn nhập mã đã điền K7M2 Q9XA R4, tự gửi đúng một yêu cầu và hiện màn "Đang chờ xác nhận"</t>
        </is>
      </c>
      <c r="G9" s="8" t="inlineStr">
        <is>
          <t>Scanner giả phát QR 5 lần: repository nhận đúng 1 request với mã K7M2Q9XAR4, hiện LinkRequestResultScreen</t>
        </is>
      </c>
      <c r="H9" s="7" t="inlineStr">
        <is>
          <t>Pass</t>
        </is>
      </c>
      <c r="I9" s="8" t="inlineStr">
        <is>
          <t>AC1, AC4, AC5 · EP (1) · scan_link_qr_screen_test: AC5</t>
        </is>
      </c>
      <c r="K9" s="9" t="inlineStr">
        <is>
          <t>Nội dung QR</t>
        </is>
      </c>
      <c r="L9" s="10" t="inlineStr">
        <is>
          <t>drugtime://link?code=&lt;10 ký tự hợp lệ&gt;</t>
        </is>
      </c>
      <c r="M9" s="10" t="inlineStr">
        <is>
          <t>1</t>
        </is>
      </c>
      <c r="N9" s="10" t="inlineStr">
        <is>
          <t>URL https (link mời)
Văn bản thường
Scheme hoặc host khác
Thiếu tham số code
code có O, I, L, 0, 1
code chữ thường
code sai độ dài</t>
        </is>
      </c>
      <c r="O9" s="10" t="inlineStr">
        <is>
          <t>9
10
11
12
13
14
15</t>
        </is>
      </c>
    </row>
    <row r="10" ht="123.5" customHeight="1">
      <c r="A10" s="7" t="inlineStr">
        <is>
          <t>TC-LINKFOLLOW-02</t>
        </is>
      </c>
      <c r="B10" s="7" t="inlineStr">
        <is>
          <t>Quét QR không phải mã liên kết DrugTime</t>
        </is>
      </c>
      <c r="C10" s="8" t="inlineStr">
        <is>
          <t>Đang ở màn Quét mã QR</t>
        </is>
      </c>
      <c r="D10" s="8" t="inlineStr">
        <is>
          <t>1. Đưa lần lượt từng QR trong Test Data vào khung</t>
        </is>
      </c>
      <c r="E10" s="8" t="inlineStr">
        <is>
          <t>https://drug-time-frontend.vercel.app/link#code=K7M2Q9XAR4; hello; drugtime://link?code=k7m2q9xar4</t>
        </is>
      </c>
      <c r="F10" s="8" t="inlineStr">
        <is>
          <t>Hiện "Đây không phải mã liên kết DrugTime."; không gửi request nào; vẫn ở màn quét</t>
        </is>
      </c>
      <c r="G10" s="8" t="inlineStr">
        <is>
          <t>Hiện đúng câu cho cả 3 QR; repository 0 lần gọi</t>
        </is>
      </c>
      <c r="H10" s="7" t="inlineStr">
        <is>
          <t>Pass</t>
        </is>
      </c>
      <c r="I10" s="8" t="inlineStr">
        <is>
          <t>AC2 · EP (2,3,7) · scan_link_qr_screen_test: AC2</t>
        </is>
      </c>
      <c r="K10" s="9" t="inlineStr">
        <is>
          <t>Mã nhập tay</t>
        </is>
      </c>
      <c r="L10" s="10" t="inlineStr">
        <is>
          <t>10 ký tự trong bảng A-H J K M N P-Z 2-9
Có khoảng trắng, gạch nối, chữ thường (được chuẩn hóa)
Dán chuỗi drugtime://link?code=
Dán link mời https://&lt;host&gt;/link#code=</t>
        </is>
      </c>
      <c r="M10" s="10" t="inlineStr">
        <is>
          <t>2
3
4
5</t>
        </is>
      </c>
      <c r="N10" s="10" t="inlineStr">
        <is>
          <t>Ít hơn 10 ký tự
Có ký tự ngoài bảng mã (0, 1, O, I, L, ký tự đặc biệt)</t>
        </is>
      </c>
      <c r="O10" s="10" t="inlineStr">
        <is>
          <t>16
17</t>
        </is>
      </c>
    </row>
    <row r="11" ht="140" customHeight="1">
      <c r="A11" s="7" t="inlineStr">
        <is>
          <t>TC-LINKFOLLOW-03</t>
        </is>
      </c>
      <c r="B11" s="7" t="inlineStr">
        <is>
          <t>Đọc nội dung QR sai định dạng contract 3.10</t>
        </is>
      </c>
      <c r="C11" s="8" t="inlineStr">
        <is>
          <t>Không</t>
        </is>
      </c>
      <c r="D11" s="8" t="inlineStr">
        <is>
          <t>1. Gọi bộ đọc QR với từng chuỗi trong Test Data</t>
        </is>
      </c>
      <c r="E11" s="8" t="inlineStr">
        <is>
          <t>otherapp://link?code=…; drugtime://invite?code=…; drugtime://link; code có 0/O/I/L/1; 9 và 11 ký tự</t>
        </is>
      </c>
      <c r="F11" s="8" t="inlineStr">
        <is>
          <t>Bộ đọc trả null cho mọi chuỗi</t>
        </is>
      </c>
      <c r="G11" s="8" t="inlineStr">
        <is>
          <t>18 chuỗi không hợp lệ đều trả null</t>
        </is>
      </c>
      <c r="H11" s="7" t="inlineStr">
        <is>
          <t>Pass</t>
        </is>
      </c>
      <c r="I11" s="8" t="inlineStr">
        <is>
          <t>AC2 · EP (4,5,6,8) · link_code_test: AC2</t>
        </is>
      </c>
      <c r="K11" s="9" t="inlineStr">
        <is>
          <t>Phản hồi của POST /family/link-requests</t>
        </is>
      </c>
      <c r="L11" s="10" t="inlineStr">
        <is>
          <t>201 pending
200 active (gửi lại)
409 link_request_pending</t>
        </is>
      </c>
      <c r="M11" s="10" t="inlineStr">
        <is>
          <t>6
7
8</t>
        </is>
      </c>
      <c r="N11" s="10" t="inlineStr">
        <is>
          <t>404 link_code_not_found
422 self_link_not_allowed
409 already_linked
200 rejected/revoked (gửi lại)
429 có Retry-After
429 thiếu Retry-After
Mất mạng / 5xx
401</t>
        </is>
      </c>
      <c r="O11" s="10" t="inlineStr">
        <is>
          <t>18
19
20
21
22
23
24
25</t>
        </is>
      </c>
    </row>
    <row r="12" ht="41" customHeight="1">
      <c r="A12" s="7" t="inlineStr">
        <is>
          <t>TC-LINKFOLLOW-04</t>
        </is>
      </c>
      <c r="B12" s="7" t="inlineStr">
        <is>
          <t>Nhập mã có chữ thường, khoảng trắng, gạch nối</t>
        </is>
      </c>
      <c r="C12" s="8" t="inlineStr">
        <is>
          <t>Đang ở màn Nhập mã liên kết</t>
        </is>
      </c>
      <c r="D12" s="8" t="inlineStr">
        <is>
          <t>1. Gõ mã trong Test Data vào ô Mã liên kết</t>
        </is>
      </c>
      <c r="E12" s="8" t="inlineStr">
        <is>
          <t>k7m2 q9xa-r4</t>
        </is>
      </c>
      <c r="F12" s="8" t="inlineStr">
        <is>
          <t>Ô hiện K7M2 Q9XA R4; nút "Gửi yêu cầu" bật; chưa gửi request</t>
        </is>
      </c>
      <c r="G12" s="8" t="inlineStr">
        <is>
          <t>Ô hiện K7M2 Q9XA R4, nút bật, repository 0 lần gọi</t>
        </is>
      </c>
      <c r="H12" s="7" t="inlineStr">
        <is>
          <t>Pass</t>
        </is>
      </c>
      <c r="I12" s="8" t="inlineStr">
        <is>
          <t>AC3 · EP (1,2) · enter_link_code_screen_test: AC3</t>
        </is>
      </c>
    </row>
    <row r="13" ht="74" customHeight="1">
      <c r="A13" s="7" t="inlineStr">
        <is>
          <t>TC-LINKFOLLOW-05</t>
        </is>
      </c>
      <c r="B13" s="7" t="inlineStr">
        <is>
          <t>Dán chuỗi QR và link mời vào ô nhập</t>
        </is>
      </c>
      <c r="C13" s="8" t="inlineStr">
        <is>
          <t>Đang ở màn Nhập mã liên kết</t>
        </is>
      </c>
      <c r="D13" s="8" t="inlineStr">
        <is>
          <t>1. Dán chuỗi QR
2. Xóa ô, dán link mời</t>
        </is>
      </c>
      <c r="E13" s="8" t="inlineStr">
        <is>
          <t>drugtime://link?code=K7M2Q9XAR4; https://drug-time-frontend.vercel.app/link#code=K7M2Q9XAR5</t>
        </is>
      </c>
      <c r="F13" s="8" t="inlineStr">
        <is>
          <t>Ô lần lượt hiện K7M2 Q9XA R4 và K7M2 Q9XA R5</t>
        </is>
      </c>
      <c r="G13" s="8" t="inlineStr">
        <is>
          <t>Ô hiện đúng hai mã</t>
        </is>
      </c>
      <c r="H13" s="7" t="inlineStr">
        <is>
          <t>Pass</t>
        </is>
      </c>
      <c r="I13" s="8" t="inlineStr">
        <is>
          <t>AC3, AC15 · EP (3,4) · enter_link_code_screen_test</t>
        </is>
      </c>
    </row>
    <row r="14" ht="41" customHeight="1">
      <c r="A14" s="7" t="inlineStr">
        <is>
          <t>TC-LINKFOLLOW-BVA-01</t>
        </is>
      </c>
      <c r="B14" s="7" t="inlineStr">
        <is>
          <t>Nhập 9 ký tự (dưới biên)</t>
        </is>
      </c>
      <c r="C14" s="8" t="inlineStr">
        <is>
          <t>Đang ở màn Nhập mã liên kết</t>
        </is>
      </c>
      <c r="D14" s="8" t="inlineStr">
        <is>
          <t>1. Gõ mã trong Test Data
2. Bấm Gửi yêu cầu</t>
        </is>
      </c>
      <c r="E14" s="8" t="inlineStr">
        <is>
          <t>K7M2Q9XAR</t>
        </is>
      </c>
      <c r="F14" s="8" t="inlineStr">
        <is>
          <t>Dưới ô hiện "Mã cần đủ 10 ký tự (còn thiếu 1)."; nút tắt; không gửi request</t>
        </is>
      </c>
      <c r="G14" s="8" t="inlineStr">
        <is>
          <t>Hiện đúng câu, nút tắt, repository 0 lần gọi</t>
        </is>
      </c>
      <c r="H14" s="7" t="inlineStr">
        <is>
          <t>Pass</t>
        </is>
      </c>
      <c r="I14" s="8" t="inlineStr">
        <is>
          <t>AC3 · BVA (min-1) · enter_link_code_screen_test</t>
        </is>
      </c>
    </row>
    <row r="15" ht="41" customHeight="1">
      <c r="A15" s="7" t="inlineStr">
        <is>
          <t>TC-LINKFOLLOW-BVA-02</t>
        </is>
      </c>
      <c r="B15" s="7" t="inlineStr">
        <is>
          <t>Nhập đúng 10 ký tự (tại biên)</t>
        </is>
      </c>
      <c r="C15" s="8" t="inlineStr">
        <is>
          <t>Đang ở màn Nhập mã liên kết</t>
        </is>
      </c>
      <c r="D15" s="8" t="inlineStr">
        <is>
          <t>1. Gõ mã trong Test Data</t>
        </is>
      </c>
      <c r="E15" s="8" t="inlineStr">
        <is>
          <t>K7M2Q9XAR4</t>
        </is>
      </c>
      <c r="F15" s="8" t="inlineStr">
        <is>
          <t>Không có lỗi dưới ô; nút bật</t>
        </is>
      </c>
      <c r="G15" s="8" t="inlineStr">
        <is>
          <t>Nút bật, không có lỗi</t>
        </is>
      </c>
      <c r="H15" s="7" t="inlineStr">
        <is>
          <t>Pass</t>
        </is>
      </c>
      <c r="I15" s="8" t="inlineStr">
        <is>
          <t>AC3 · BVA (min/max) · enter_link_code_screen_test</t>
        </is>
      </c>
    </row>
    <row r="16" ht="41" customHeight="1">
      <c r="A16" s="7" t="inlineStr">
        <is>
          <t>TC-LINKFOLLOW-BVA-03</t>
        </is>
      </c>
      <c r="B16" s="7" t="inlineStr">
        <is>
          <t>Nhập 11 ký tự (trên biên)</t>
        </is>
      </c>
      <c r="C16" s="8" t="inlineStr">
        <is>
          <t>Đang ở màn Nhập mã liên kết</t>
        </is>
      </c>
      <c r="D16" s="8" t="inlineStr">
        <is>
          <t>1. Gõ mã trong Test Data</t>
        </is>
      </c>
      <c r="E16" s="8" t="inlineStr">
        <is>
          <t>K7M2Q9XAR4K</t>
        </is>
      </c>
      <c r="F16" s="8" t="inlineStr">
        <is>
          <t>Ô chỉ giữ 10 ký tự đầu K7M2 Q9XA R4; nút bật</t>
        </is>
      </c>
      <c r="G16" s="8" t="inlineStr">
        <is>
          <t>Ô hiện K7M2 Q9XA R4, nút bật</t>
        </is>
      </c>
      <c r="H16" s="7" t="inlineStr">
        <is>
          <t>Pass</t>
        </is>
      </c>
      <c r="I16" s="8" t="inlineStr">
        <is>
          <t>AC3 · BVA (max+1) · enter_link_code_screen_test: AC3 BVA</t>
        </is>
      </c>
    </row>
    <row r="17" ht="41" customHeight="1">
      <c r="A17" s="7" t="inlineStr">
        <is>
          <t>TC-LINKFOLLOW-06</t>
        </is>
      </c>
      <c r="B17" s="7" t="inlineStr">
        <is>
          <t>Nhập mã có ký tự ngoài bảng mã</t>
        </is>
      </c>
      <c r="C17" s="8" t="inlineStr">
        <is>
          <t>Đang ở màn Nhập mã liên kết</t>
        </is>
      </c>
      <c r="D17" s="8" t="inlineStr">
        <is>
          <t>1. Gõ mã trong Test Data</t>
        </is>
      </c>
      <c r="E17" s="8" t="inlineStr">
        <is>
          <t>K7M2Q9XA01</t>
        </is>
      </c>
      <c r="F17" s="8" t="inlineStr">
        <is>
          <t>Dưới ô hiện "Mã chỉ gồm chữ và số, không có 0, O, 1, I, L."; nút tắt</t>
        </is>
      </c>
      <c r="G17" s="8" t="inlineStr">
        <is>
          <t>Hiện đúng câu, nút tắt</t>
        </is>
      </c>
      <c r="H17" s="7" t="inlineStr">
        <is>
          <t>Pass</t>
        </is>
      </c>
      <c r="I17" s="8" t="inlineStr">
        <is>
          <t>AC3 · EP (6) · enter_link_code_screen_test</t>
        </is>
      </c>
    </row>
    <row r="18" ht="57.5" customHeight="1">
      <c r="A18" s="7" t="inlineStr">
        <is>
          <t>TC-LINKFOLLOW-07</t>
        </is>
      </c>
      <c r="B18" s="7" t="inlineStr">
        <is>
          <t>Bấm Gửi liên tục khi request đầu chưa xong</t>
        </is>
      </c>
      <c r="C18" s="8" t="inlineStr">
        <is>
          <t>Đã nhập mã hợp lệ; server trả chậm</t>
        </is>
      </c>
      <c r="D18" s="8" t="inlineStr">
        <is>
          <t>1. Bấm Gửi yêu cầu 3 lần liên tiếp</t>
        </is>
      </c>
      <c r="E18" s="8" t="inlineStr">
        <is>
          <t>K7M2Q9XAR4</t>
        </is>
      </c>
      <c r="F18" s="8" t="inlineStr">
        <is>
          <t>Chỉ một request; nút tắt và có vòng xoay trong lúc chờ</t>
        </is>
      </c>
      <c r="G18" s="8" t="inlineStr">
        <is>
          <t>Repository 1 lần gọi; có chỉ báo đang gửi; nút tắt</t>
        </is>
      </c>
      <c r="H18" s="7" t="inlineStr">
        <is>
          <t>Pass</t>
        </is>
      </c>
      <c r="I18" s="8" t="inlineStr">
        <is>
          <t>AC5 · Đoán lỗi (bấm liên tục) · enter_link_code_screen_test: AC5</t>
        </is>
      </c>
    </row>
    <row r="19" ht="57.5" customHeight="1">
      <c r="A19" s="7" t="inlineStr">
        <is>
          <t>TC-LINKFOLLOW-08</t>
        </is>
      </c>
      <c r="B19" s="7" t="inlineStr">
        <is>
          <t>Gửi mã không tồn tại hoặc patient chưa bật chia sẻ</t>
        </is>
      </c>
      <c r="C19" s="8" t="inlineStr">
        <is>
          <t>Đã nhập mã hợp lệ</t>
        </is>
      </c>
      <c r="D19" s="8" t="inlineStr">
        <is>
          <t>1. Bấm Gửi yêu cầu</t>
        </is>
      </c>
      <c r="E19" s="8" t="inlineStr">
        <is>
          <t>Server trả 404 link_code_not_found</t>
        </is>
      </c>
      <c r="F19" s="8" t="inlineStr">
        <is>
          <t>Hiện "Mã không đúng, hoặc người thân chưa bật chia sẻ với gia đình."; ở lại màn; giữ mã</t>
        </is>
      </c>
      <c r="G19" s="8" t="inlineStr">
        <is>
          <t>Hiện đúng câu, vẫn ở màn nhập mã, ô vẫn K7M2 Q9XA R4</t>
        </is>
      </c>
      <c r="H19" s="7" t="inlineStr">
        <is>
          <t>Pass</t>
        </is>
      </c>
      <c r="I19" s="8" t="inlineStr">
        <is>
          <t>AC6 · EP (Phản hồi 4) · enter_link_code_screen_test: AC6</t>
        </is>
      </c>
    </row>
    <row r="20" ht="41" customHeight="1">
      <c r="A20" s="7" t="inlineStr">
        <is>
          <t>TC-LINKFOLLOW-09</t>
        </is>
      </c>
      <c r="B20" s="7" t="inlineStr">
        <is>
          <t>Gửi mã của chính mình</t>
        </is>
      </c>
      <c r="C20" s="8" t="inlineStr">
        <is>
          <t>Đã nhập mã của chính tài khoản</t>
        </is>
      </c>
      <c r="D20" s="8" t="inlineStr">
        <is>
          <t>1. Bấm Gửi yêu cầu</t>
        </is>
      </c>
      <c r="E20" s="8" t="inlineStr">
        <is>
          <t>Server trả 422 self_link_not_allowed</t>
        </is>
      </c>
      <c r="F20" s="8" t="inlineStr">
        <is>
          <t>Hiện "Đây là mã của chính bạn."; ở lại màn</t>
        </is>
      </c>
      <c r="G20" s="8" t="inlineStr">
        <is>
          <t>Hiện đúng câu</t>
        </is>
      </c>
      <c r="H20" s="7" t="inlineStr">
        <is>
          <t>Pass</t>
        </is>
      </c>
      <c r="I20" s="8" t="inlineStr">
        <is>
          <t>AC6 · EP (Phản hồi 5) · enter_link_code_screen_test: AC6</t>
        </is>
      </c>
    </row>
    <row r="21" ht="41" customHeight="1">
      <c r="A21" s="7" t="inlineStr">
        <is>
          <t>TC-LINKFOLLOW-10</t>
        </is>
      </c>
      <c r="B21" s="7" t="inlineStr">
        <is>
          <t>Gửi mã của người đã theo dõi</t>
        </is>
      </c>
      <c r="C21" s="8" t="inlineStr">
        <is>
          <t>Đã liên kết active với patient này</t>
        </is>
      </c>
      <c r="D21" s="8" t="inlineStr">
        <is>
          <t>1. Bấm Gửi yêu cầu</t>
        </is>
      </c>
      <c r="E21" s="8" t="inlineStr">
        <is>
          <t>Server trả 409 already_linked</t>
        </is>
      </c>
      <c r="F21" s="8" t="inlineStr">
        <is>
          <t>Hiện "Bạn đã theo dõi người này rồi."</t>
        </is>
      </c>
      <c r="G21" s="8" t="inlineStr">
        <is>
          <t>Hiện đúng câu</t>
        </is>
      </c>
      <c r="H21" s="7" t="inlineStr">
        <is>
          <t>Pass</t>
        </is>
      </c>
      <c r="I21" s="8" t="inlineStr">
        <is>
          <t>AC6 · EP (Phản hồi 6) · enter_link_code_screen_test: AC6</t>
        </is>
      </c>
    </row>
    <row r="22" ht="41" customHeight="1">
      <c r="A22" s="7" t="inlineStr">
        <is>
          <t>TC-LINKFOLLOW-11</t>
        </is>
      </c>
      <c r="B22" s="7" t="inlineStr">
        <is>
          <t>Gửi khi đã có yêu cầu đang chờ với patient</t>
        </is>
      </c>
      <c r="C22" s="8" t="inlineStr">
        <is>
          <t>Đã gửi yêu cầu trước đó, chưa được trả lời</t>
        </is>
      </c>
      <c r="D22" s="8" t="inlineStr">
        <is>
          <t>1. Bấm Gửi yêu cầu</t>
        </is>
      </c>
      <c r="E22" s="8" t="inlineStr">
        <is>
          <t>Server trả 409 link_request_pending</t>
        </is>
      </c>
      <c r="F22" s="8" t="inlineStr">
        <is>
          <t>Hiện màn "Đang chờ xác nhận" (không báo lỗi)</t>
        </is>
      </c>
      <c r="G22" s="8" t="inlineStr">
        <is>
          <t>Hiện màn Đang chờ xác nhận</t>
        </is>
      </c>
      <c r="H22" s="7" t="inlineStr">
        <is>
          <t>Pass</t>
        </is>
      </c>
      <c r="I22" s="8" t="inlineStr">
        <is>
          <t>AC21 · EP (Phản hồi 3) · enter_link_code_screen_test: AC21</t>
        </is>
      </c>
    </row>
    <row r="23" ht="74" customHeight="1">
      <c r="A23" s="7" t="inlineStr">
        <is>
          <t>TC-LINKFOLLOW-12</t>
        </is>
      </c>
      <c r="B23" s="7" t="inlineStr">
        <is>
          <t>Gửi lại khi yêu cầu cũ đã được chấp thuận, bị từ chối, hoặc trạng thái lạ</t>
        </is>
      </c>
      <c r="C23" s="8" t="inlineStr">
        <is>
          <t>Lần gửi trước bị mất phản hồi</t>
        </is>
      </c>
      <c r="D23" s="8" t="inlineStr">
        <is>
          <t>1. Bấm Gửi yêu cầu</t>
        </is>
      </c>
      <c r="E23" s="8" t="inlineStr">
        <is>
          <t>Server trả 200 với status active; rejected; xyz</t>
        </is>
      </c>
      <c r="F23" s="8" t="inlineStr">
        <is>
          <t>active: "Đã được chấp thuận"; rejected: "Yêu cầu này không còn hiệu lực. Bạn có thể gửi lại." và ở lại màn; xyz: màn Đang chờ xác nhận</t>
        </is>
      </c>
      <c r="G23" s="8" t="inlineStr">
        <is>
          <t>Đúng cả ba kết quả</t>
        </is>
      </c>
      <c r="H23" s="7" t="inlineStr">
        <is>
          <t>Pass</t>
        </is>
      </c>
      <c r="I23" s="8" t="inlineStr">
        <is>
          <t>AC21 · EP (Phản hồi 2,7) · enter_link_code_screen_test: AC21</t>
        </is>
      </c>
    </row>
    <row r="24" ht="57.5" customHeight="1">
      <c r="A24" s="7" t="inlineStr">
        <is>
          <t>TC-LINKFOLLOW-13</t>
        </is>
      </c>
      <c r="B24" s="7" t="inlineStr">
        <is>
          <t>Bị khóa vì nhập sai nhiều lần</t>
        </is>
      </c>
      <c r="C24" s="8" t="inlineStr">
        <is>
          <t>Đã nhập mã hợp lệ</t>
        </is>
      </c>
      <c r="D24" s="8" t="inlineStr">
        <is>
          <t>1. Bấm Gửi yêu cầu
2. Bấm Gửi lại khi đang đếm ngược
3. Chờ hết 900 giây</t>
        </is>
      </c>
      <c r="E24" s="8" t="inlineStr">
        <is>
          <t>Server trả 429 link_request_locked, Retry-After: 900</t>
        </is>
      </c>
      <c r="F24" s="8" t="inlineStr">
        <is>
          <t>Hiện "Bạn đã nhập sai mã nhiều lần. Thử lại sau 15:00.", đếm ngược mỗi giây; nút tắt; hết giờ nút bật lại và không tự gửi</t>
        </is>
      </c>
      <c r="G24" s="8" t="inlineStr">
        <is>
          <t>Hiện 15:00 rồi 14:59; bấm không gửi; sau 900 giây nút bật, repository vẫn 1 lần gọi</t>
        </is>
      </c>
      <c r="H24" s="7" t="inlineStr">
        <is>
          <t>Pass</t>
        </is>
      </c>
      <c r="I24" s="8" t="inlineStr">
        <is>
          <t>AC20 · EP (Phản hồi 8) · enter_link_code_screen_test: AC20</t>
        </is>
      </c>
    </row>
    <row r="25" ht="57.5" customHeight="1">
      <c r="A25" s="7" t="inlineStr">
        <is>
          <t>TC-LINKFOLLOW-14</t>
        </is>
      </c>
      <c r="B25" s="7" t="inlineStr">
        <is>
          <t>Bị chặn 24 giờ nhưng server không gửi Retry-After</t>
        </is>
      </c>
      <c r="C25" s="8" t="inlineStr">
        <is>
          <t>Đã nhập mã hợp lệ</t>
        </is>
      </c>
      <c r="D25" s="8" t="inlineStr">
        <is>
          <t>1. Bấm Gửi yêu cầu</t>
        </is>
      </c>
      <c r="E25" s="8" t="inlineStr">
        <is>
          <t>Server trả 429 link_request_cooldown, không có Retry-After</t>
        </is>
      </c>
      <c r="F25" s="8" t="inlineStr">
        <is>
          <t>Hiện "Người này đã từ chối nhiều lần liên tiếp." (không có thời gian); không tự gửi</t>
        </is>
      </c>
      <c r="G25" s="8" t="inlineStr">
        <is>
          <t>Hiện đúng câu không kèm thời gian</t>
        </is>
      </c>
      <c r="H25" s="7" t="inlineStr">
        <is>
          <t>Pass</t>
        </is>
      </c>
      <c r="I25" s="8" t="inlineStr">
        <is>
          <t>AC20 · EP (Phản hồi 9) · enter_link_code_screen_test: AC20</t>
        </is>
      </c>
    </row>
    <row r="26" ht="74" customHeight="1">
      <c r="A26" s="7" t="inlineStr">
        <is>
          <t>TC-LINKFOLLOW-15</t>
        </is>
      </c>
      <c r="B26" s="7" t="inlineStr">
        <is>
          <t>Mất mạng khi gửi rồi bấm Thử lại</t>
        </is>
      </c>
      <c r="C26" s="8" t="inlineStr">
        <is>
          <t>Đã nhập mã hợp lệ; mất mạng</t>
        </is>
      </c>
      <c r="D26" s="8" t="inlineStr">
        <is>
          <t>1. Bấm Gửi yêu cầu
2. Bấm Thử lại
3. Sửa mã thành K7M2Q9XAR5 rồi bấm Gửi</t>
        </is>
      </c>
      <c r="E26" s="8" t="inlineStr">
        <is>
          <t>Lỗi mạng ở cả 3 lần</t>
        </is>
      </c>
      <c r="F26" s="8" t="inlineStr">
        <is>
          <t>Hiện "Không kết nối được, thử lại.", nút đổi thành Thử lại; lần 2 dùng cùng client_uuid; lần 3 dùng client_uuid mới; không tự gửi lại trong nền</t>
        </is>
      </c>
      <c r="G26" s="8" t="inlineStr">
        <is>
          <t>client_uuid lần 1 = lần 2, lần 3 khác; sau 1 phút vẫn 3 request</t>
        </is>
      </c>
      <c r="H26" s="7" t="inlineStr">
        <is>
          <t>Pass</t>
        </is>
      </c>
      <c r="I26" s="8" t="inlineStr">
        <is>
          <t>AC7 · EP (Phản hồi 10) · Đoán lỗi (mất mạng) · enter_link_code_screen_test: AC7</t>
        </is>
      </c>
    </row>
    <row r="27" ht="74" customHeight="1">
      <c r="A27" s="7" t="inlineStr">
        <is>
          <t>TC-LINKFOLLOW-16</t>
        </is>
      </c>
      <c r="B27" s="7" t="inlineStr">
        <is>
          <t>Phiên hết hạn khi gửi yêu cầu</t>
        </is>
      </c>
      <c r="C27" s="8" t="inlineStr">
        <is>
          <t>Token đã hết hạn</t>
        </is>
      </c>
      <c r="D27" s="8" t="inlineStr">
        <is>
          <t>1. Bấm Gửi yêu cầu</t>
        </is>
      </c>
      <c r="E27" s="8" t="inlineStr">
        <is>
          <t>Server trả 401</t>
        </is>
      </c>
      <c r="F27" s="8" t="inlineStr">
        <is>
          <t>App về màn Đăng nhập (onUnauthorized); không hiện lỗi về mã</t>
        </is>
      </c>
      <c r="G27" s="8" t="inlineStr">
        <is>
          <t>onUnauthorized được gọi 1 lần; controller không có lỗi hiển thị</t>
        </is>
      </c>
      <c r="H27" s="7" t="inlineStr">
        <is>
          <t>Pass</t>
        </is>
      </c>
      <c r="I27" s="8" t="inlineStr">
        <is>
          <t>AC8 · EP (Phản hồi 11) · remote_family_link_repository_test, link_request_controller_test: AC8</t>
        </is>
      </c>
    </row>
    <row r="28" ht="74" customHeight="1">
      <c r="A28" s="7" t="inlineStr">
        <is>
          <t>TC-LINKFOLLOW-17</t>
        </is>
      </c>
      <c r="B28" s="7" t="inlineStr">
        <is>
          <t>Gửi request đúng contract 3.13</t>
        </is>
      </c>
      <c r="C28" s="8" t="inlineStr">
        <is>
          <t>HTTP server giả</t>
        </is>
      </c>
      <c r="D28" s="8" t="inlineStr">
        <is>
          <t>1. Gửi mã K7M2Q9XAR4 qua repository Remote</t>
        </is>
      </c>
      <c r="E28" s="8" t="inlineStr">
        <is>
          <t>client_uuid 9b2e4c71-5d3a-4f8e-a1c6-7e0d2b9f4a58</t>
        </is>
      </c>
      <c r="F28" s="8" t="inlineStr">
        <is>
          <t>POST /family/link-requests, body đúng {client_uuid, code}, header Authorization: Bearer; mọi cặp mã trạng thái/detail được ánh xạ; detail lạ → không xác định</t>
        </is>
      </c>
      <c r="G28" s="8" t="inlineStr">
        <is>
          <t>9/9 test của repository Remote pass</t>
        </is>
      </c>
      <c r="H28" s="7" t="inlineStr">
        <is>
          <t>Pass</t>
        </is>
      </c>
      <c r="I28" s="8" t="inlineStr">
        <is>
          <t>AC9 · remote_family_link_repository_test</t>
        </is>
      </c>
    </row>
    <row r="29" ht="41" customHeight="1">
      <c r="A29" s="7" t="inlineStr">
        <is>
          <t>TC-LINKFOLLOW-18</t>
        </is>
      </c>
      <c r="B29" s="7" t="inlineStr">
        <is>
          <t>Từ chối quyền camera</t>
        </is>
      </c>
      <c r="C29" s="8" t="inlineStr">
        <is>
          <t>Quyền camera ở trạng thái bị từ chối</t>
        </is>
      </c>
      <c r="D29" s="8" t="inlineStr">
        <is>
          <t>1. Mở màn Quét mã QR
2. Bấm Cho phép camera sau khi bật quyền</t>
        </is>
      </c>
      <c r="E29" s="8" t="inlineStr">
        <is>
          <t>(không có)</t>
        </is>
      </c>
      <c r="F29" s="8" t="inlineStr">
        <is>
          <t>Không crash; hiện "Chưa có quyền dùng camera", nút Nhập mã; xin lại được</t>
        </is>
      </c>
      <c r="G29" s="8" t="inlineStr">
        <is>
          <t>Hiện giải thích và nút Nhập mã; sau khi cấp quyền camera hiện</t>
        </is>
      </c>
      <c r="H29" s="7" t="inlineStr">
        <is>
          <t>Pass</t>
        </is>
      </c>
      <c r="I29" s="8" t="inlineStr">
        <is>
          <t>AC10 · Đoán lỗi · scan_link_qr_screen_test: AC10</t>
        </is>
      </c>
    </row>
    <row r="30" ht="57.5" customHeight="1">
      <c r="A30" s="7" t="inlineStr">
        <is>
          <t>TC-LINKFOLLOW-19</t>
        </is>
      </c>
      <c r="B30" s="7" t="inlineStr">
        <is>
          <t>Quyền camera bị từ chối vĩnh viễn</t>
        </is>
      </c>
      <c r="C30" s="8" t="inlineStr">
        <is>
          <t>Quyền camera bị từ chối vĩnh viễn</t>
        </is>
      </c>
      <c r="D30" s="8" t="inlineStr">
        <is>
          <t>1. Mở màn Quét mã QR
2. Bấm Mở Cài đặt
3. Bấm Nhập mã</t>
        </is>
      </c>
      <c r="E30" s="8" t="inlineStr">
        <is>
          <t>(không có)</t>
        </is>
      </c>
      <c r="F30" s="8" t="inlineStr">
        <is>
          <t>Có nút Mở Cài đặt mở trang cài đặt app; Nhập mã mở màn nhập mã</t>
        </is>
      </c>
      <c r="G30" s="8" t="inlineStr">
        <is>
          <t>openSettings được gọi 1 lần; mở màn nhập mã</t>
        </is>
      </c>
      <c r="H30" s="7" t="inlineStr">
        <is>
          <t>Pass</t>
        </is>
      </c>
      <c r="I30" s="8" t="inlineStr">
        <is>
          <t>AC10 · scan_link_qr_screen_test: AC10</t>
        </is>
      </c>
    </row>
    <row r="31" ht="74" customHeight="1">
      <c r="A31" s="7" t="inlineStr">
        <is>
          <t>TC-LINKFOLLOW-20</t>
        </is>
      </c>
      <c r="B31" s="7" t="inlineStr">
        <is>
          <t>Chọn cách theo dõi người thân từ tab Người thân</t>
        </is>
      </c>
      <c r="C31" s="8" t="inlineStr">
        <is>
          <t>Đã đăng nhập</t>
        </is>
      </c>
      <c r="D31" s="8" t="inlineStr">
        <is>
          <t>1. Mở tab Người thân
2. Bấm Theo dõi người thân
3. Chọn Quét mã QR / Nhập mã
4. Từ màn quét bấm Nhập mã</t>
        </is>
      </c>
      <c r="E31" s="8" t="inlineStr">
        <is>
          <t>(không có)</t>
        </is>
      </c>
      <c r="F31" s="8" t="inlineStr">
        <is>
          <t>Sheet có hai lựa chọn; mỗi lựa chọn mở đúng màn; từ màn quét sang được màn nhập mã</t>
        </is>
      </c>
      <c r="G31" s="8" t="inlineStr">
        <is>
          <t>Đúng cả ba</t>
        </is>
      </c>
      <c r="H31" s="7" t="inlineStr">
        <is>
          <t>Pass</t>
        </is>
      </c>
      <c r="I31" s="8" t="inlineStr">
        <is>
          <t>AC11 · family_tab_screen_test, scan_link_qr_screen_test: AC11</t>
        </is>
      </c>
    </row>
    <row r="32" ht="41" customHeight="1">
      <c r="A32" s="7" t="inlineStr">
        <is>
          <t>TC-LINKFOLLOW-21</t>
        </is>
      </c>
      <c r="B32" s="7" t="inlineStr">
        <is>
          <t>Mở link mời khi đã đăng nhập</t>
        </is>
      </c>
      <c r="C32" s="8" t="inlineStr">
        <is>
          <t>Đã đăng nhập, app đang ở Trang chủ</t>
        </is>
      </c>
      <c r="D32" s="8" t="inlineStr">
        <is>
          <t>1. Mở link mời từ bên ngoài app</t>
        </is>
      </c>
      <c r="E32" s="8" t="inlineStr">
        <is>
          <t>https://drug-time-frontend.vercel.app/link#code=K7M2Q9XAR4</t>
        </is>
      </c>
      <c r="F32" s="8" t="inlineStr">
        <is>
          <t>App mở màn Nhập mã đã điền K7M2 Q9XA R4; chưa gửi cho tới khi bấm Gửi</t>
        </is>
      </c>
      <c r="G32" s="8" t="inlineStr">
        <is>
          <t>Màn nhập mã điền sẵn, repository 0 lần; bấm Gửi thì 1 lần</t>
        </is>
      </c>
      <c r="H32" s="7" t="inlineStr">
        <is>
          <t>Pass</t>
        </is>
      </c>
      <c r="I32" s="8" t="inlineStr">
        <is>
          <t>AC16 · invite_link_flow_test</t>
        </is>
      </c>
    </row>
    <row r="33" ht="41" customHeight="1">
      <c r="A33" s="7" t="inlineStr">
        <is>
          <t>TC-LINKFOLLOW-22</t>
        </is>
      </c>
      <c r="B33" s="7" t="inlineStr">
        <is>
          <t>Mở link mời khi chưa đăng nhập</t>
        </is>
      </c>
      <c r="C33" s="8" t="inlineStr">
        <is>
          <t>Chưa đăng nhập, đang ở màn nhập OTP</t>
        </is>
      </c>
      <c r="D33" s="8" t="inlineStr">
        <is>
          <t>1. Mở link mời
2. Nhập OTP 123456</t>
        </is>
      </c>
      <c r="E33" s="8" t="inlineStr">
        <is>
          <t>https://drug-time-frontend.vercel.app/link#code=K7M2Q9XAR4</t>
        </is>
      </c>
      <c r="F33" s="8" t="inlineStr">
        <is>
          <t>Link chờ tới khi đăng nhập xong; sau đó mở màn nhập mã đúng mã, chưa gửi</t>
        </is>
      </c>
      <c r="G33" s="8" t="inlineStr">
        <is>
          <t>Sau OTP hiện màn nhập mã K7M2 Q9XA R4, repository 0 lần</t>
        </is>
      </c>
      <c r="H33" s="7" t="inlineStr">
        <is>
          <t>Pass</t>
        </is>
      </c>
      <c r="I33" s="8" t="inlineStr">
        <is>
          <t>AC16 · invite_link_flow_test</t>
        </is>
      </c>
    </row>
    <row r="34" ht="41" customHeight="1">
      <c r="A34" s="7" t="inlineStr">
        <is>
          <t>TC-LINKFOLLOW-23</t>
        </is>
      </c>
      <c r="B34" s="7" t="inlineStr">
        <is>
          <t>Mở link mời sai định dạng</t>
        </is>
      </c>
      <c r="C34" s="8" t="inlineStr">
        <is>
          <t>Đã đăng nhập</t>
        </is>
      </c>
      <c r="D34" s="8" t="inlineStr">
        <is>
          <t>1. Mở link mời trong Test Data</t>
        </is>
      </c>
      <c r="E34" s="8" t="inlineStr">
        <is>
          <t>https://drug-time-frontend.vercel.app/link#code=K7M2Q9XAR0</t>
        </is>
      </c>
      <c r="F34" s="8" t="inlineStr">
        <is>
          <t>Màn nhập mã trống kèm "Link mời không hợp lệ."</t>
        </is>
      </c>
      <c r="G34" s="8" t="inlineStr">
        <is>
          <t>Hiện đúng câu, ô trống</t>
        </is>
      </c>
      <c r="H34" s="7" t="inlineStr">
        <is>
          <t>Pass</t>
        </is>
      </c>
      <c r="I34" s="8" t="inlineStr">
        <is>
          <t>AC15, AC16 · invite_link_flow_test, link_code_test: AC15</t>
        </is>
      </c>
    </row>
    <row r="35" ht="57.5" customHeight="1">
      <c r="A35" s="7" t="inlineStr">
        <is>
          <t>TC-LINKFOLLOW-24</t>
        </is>
      </c>
      <c r="B35" s="7" t="inlineStr">
        <is>
          <t>Không lưu mã liên kết xuống máy hay log</t>
        </is>
      </c>
      <c r="C35" s="8" t="inlineStr">
        <is>
          <t>Đã nhập mã hợp lệ</t>
        </is>
      </c>
      <c r="D35" s="8" t="inlineStr">
        <is>
          <t>1. Bấm Gửi (lỗi mạng)
2. Bấm Thử lại
3. Rà code tìm print/debugPrint/log và storage</t>
        </is>
      </c>
      <c r="E35" s="8" t="inlineStr">
        <is>
          <t>K7M2Q9XAR4</t>
        </is>
      </c>
      <c r="F35" s="8" t="inlineStr">
        <is>
          <t>Không có lời gọi secure storage hay SQLite; không có lệnh log nào in mã</t>
        </is>
      </c>
      <c r="G35" s="8" t="inlineStr">
        <is>
          <t>0 lời gọi kênh flutter_secure_storage/sqflite; grep sạch</t>
        </is>
      </c>
      <c r="H35" s="7" t="inlineStr">
        <is>
          <t>Pass</t>
        </is>
      </c>
      <c r="I35" s="8" t="inlineStr">
        <is>
          <t>AC13 · Bảo mật · enter_link_code_screen_test: AC13 · evidence/implement-ac13-grep.log</t>
        </is>
      </c>
    </row>
    <row r="36" ht="74" customHeight="1">
      <c r="A36" s="7" t="inlineStr">
        <is>
          <t>TC-LINKFOLLOW-25</t>
        </is>
      </c>
      <c r="B36" s="7" t="inlineStr">
        <is>
          <t>Quét QR thật trên Android và kiểm DB</t>
        </is>
      </c>
      <c r="C36" s="8" t="inlineStr">
        <is>
          <t>Thiết bị Android thật; backend main chạy local; patient đã đồng ý family_sharing và đang hiện QR</t>
        </is>
      </c>
      <c r="D36" s="8" t="inlineStr">
        <is>
          <t>1. Người thân quét QR của patient
2. Kiểm caregiver_links trong DB
3. Quét lại cùng QR</t>
        </is>
      </c>
      <c r="E36" s="8" t="inlineStr">
        <is>
          <t>QR từ màn Mã liên kết của tôi</t>
        </is>
      </c>
      <c r="F36" s="8" t="inlineStr">
        <is>
          <t>Hiện màn chờ; DB có 1 dòng caregiver_links pending cho đúng cặp; lần quét 2 vẫn hiện màn chờ và DB không thêm dòng</t>
        </is>
      </c>
      <c r="G36" s="8" t="inlineStr"/>
      <c r="H36" s="7" t="inlineStr">
        <is>
          <t>Pending</t>
        </is>
      </c>
      <c r="I36" s="8" t="inlineStr">
        <is>
          <t>AC12 · manual (cần camera, thiết bị, backend)</t>
        </is>
      </c>
    </row>
    <row r="37" ht="41" customHeight="1">
      <c r="A37" s="7" t="inlineStr">
        <is>
          <t>TC-LINKFOLLOW-26</t>
        </is>
      </c>
      <c r="B37" s="7" t="inlineStr">
        <is>
          <t>Bật tắt đèn flash khi quét</t>
        </is>
      </c>
      <c r="C37" s="8" t="inlineStr">
        <is>
          <t>Thiết bị có đèn flash, đang ở màn quét</t>
        </is>
      </c>
      <c r="D37" s="8" t="inlineStr">
        <is>
          <t>1. Bấm nút đèn
2. Bấm lại</t>
        </is>
      </c>
      <c r="E37" s="8" t="inlineStr">
        <is>
          <t>(không có)</t>
        </is>
      </c>
      <c r="F37" s="8" t="inlineStr">
        <is>
          <t>Đèn bật rồi tắt; icon đổi tương ứng</t>
        </is>
      </c>
      <c r="G37" s="8" t="inlineStr"/>
      <c r="H37" s="7" t="inlineStr">
        <is>
          <t>Pending</t>
        </is>
      </c>
      <c r="I37" s="8" t="inlineStr">
        <is>
          <t>AC12 · manual</t>
        </is>
      </c>
    </row>
    <row r="38" ht="74" customHeight="1">
      <c r="A38" s="7" t="inlineStr">
        <is>
          <t>TC-LINKFOLLOW-27</t>
        </is>
      </c>
      <c r="B38" s="7" t="inlineStr">
        <is>
          <t>Từ chối quyền camera trên máy thật</t>
        </is>
      </c>
      <c r="C38" s="8" t="inlineStr">
        <is>
          <t>App mới cài trên Android thật</t>
        </is>
      </c>
      <c r="D38" s="8" t="inlineStr">
        <is>
          <t>1. Mở màn quét, chọn Không cho phép
2. Mở lại, chọn Không cho phép và không hỏi lại
3. Bấm Mở Cài đặt</t>
        </is>
      </c>
      <c r="E38" s="8" t="inlineStr">
        <is>
          <t>(không có)</t>
        </is>
      </c>
      <c r="F38" s="8" t="inlineStr">
        <is>
          <t>Không crash; lần 2 có nút Mở Cài đặt mở đúng trang cài đặt DrugTime</t>
        </is>
      </c>
      <c r="G38" s="8" t="inlineStr"/>
      <c r="H38" s="7" t="inlineStr">
        <is>
          <t>Pending</t>
        </is>
      </c>
      <c r="I38" s="8" t="inlineStr">
        <is>
          <t>AC10 · manual</t>
        </is>
      </c>
    </row>
    <row r="39" ht="57.5" customHeight="1">
      <c r="A39" s="7" t="inlineStr">
        <is>
          <t>TC-LINKFOLLOW-28</t>
        </is>
      </c>
      <c r="B39" s="7" t="inlineStr">
        <is>
          <t>App bị ẩn rồi hiện lại khi hộp thoại xin quyền camera còn mở</t>
        </is>
      </c>
      <c r="C39" s="8" t="inlineStr">
        <is>
          <t>Mở màn Quét mã QR lần đầu, hộp thoại xin quyền camera đang hiện</t>
        </is>
      </c>
      <c r="D39" s="8" t="inlineStr">
        <is>
          <t>1. App chuyển inactive rồi resumed (hộp thoại che màn hình)
2. Chọn Cho phép trong hộp thoại</t>
        </is>
      </c>
      <c r="E39" s="8" t="inlineStr">
        <is>
          <t>(không có)</t>
        </is>
      </c>
      <c r="F39" s="8" t="inlineStr">
        <is>
          <t>Chỉ có đúng một yêu cầu xin quyền; sau khi cho phép thì camera hiện</t>
        </is>
      </c>
      <c r="G39" s="8" t="inlineStr">
        <is>
          <t>Số lần xin quyền giữ ở 1 sau resumed và sau khi trả kết quả; scanner hiện</t>
        </is>
      </c>
      <c r="H39" s="7" t="inlineStr">
        <is>
          <t>Pass</t>
        </is>
      </c>
      <c r="I39" s="8" t="inlineStr">
        <is>
          <t>AC10 · Đoán lỗi (review M1) · scan_link_qr_screen_test: AC10 (M1) resumed</t>
        </is>
      </c>
    </row>
    <row r="40" ht="57.5" customHeight="1">
      <c r="A40" s="7" t="inlineStr">
        <is>
          <t>TC-LINKFOLLOW-29</t>
        </is>
      </c>
      <c r="B40" s="7" t="inlineStr">
        <is>
          <t>Xin quyền camera bị lỗi nền tảng</t>
        </is>
      </c>
      <c r="C40" s="8" t="inlineStr">
        <is>
          <t>Plugin quyền ném lỗi khi xin quyền</t>
        </is>
      </c>
      <c r="D40" s="8" t="inlineStr">
        <is>
          <t>1. Mở màn Quét mã QR</t>
        </is>
      </c>
      <c r="E40" s="8" t="inlineStr">
        <is>
          <t>PlatformException ERROR_ALREADY_REQUESTING_PERMISSIONS</t>
        </is>
      </c>
      <c r="F40" s="8" t="inlineStr">
        <is>
          <t>Không kẹt ở vòng xoay; hiện "Chưa có quyền dùng camera" và nút Nhập mã</t>
        </is>
      </c>
      <c r="G40" s="8" t="inlineStr">
        <is>
          <t>Không còn vòng xoay; hiện giải thích và nút Nhập mã</t>
        </is>
      </c>
      <c r="H40" s="7" t="inlineStr">
        <is>
          <t>Pass</t>
        </is>
      </c>
      <c r="I40" s="8" t="inlineStr">
        <is>
          <t>AC10 · Đoán lỗi (review M1) · scan_link_qr_screen_test: AC10 (M1) lỗi nền tảng</t>
        </is>
      </c>
    </row>
    <row r="41" ht="57.5" customHeight="1">
      <c r="A41" s="7" t="inlineStr">
        <is>
          <t>TC-LINKFOLLOW-30</t>
        </is>
      </c>
      <c r="B41" s="7" t="inlineStr">
        <is>
          <t>Chỉ kiểm lại quyền camera khi quay về từ Cài đặt</t>
        </is>
      </c>
      <c r="C41" s="8" t="inlineStr">
        <is>
          <t>Quyền camera bị từ chối vĩnh viễn, đang ở màn quét</t>
        </is>
      </c>
      <c r="D41" s="8" t="inlineStr">
        <is>
          <t>1. Ẩn rồi hiện lại app mà không bấm Mở Cài đặt
2. Bấm Mở Cài đặt, bật quyền camera, quay lại app</t>
        </is>
      </c>
      <c r="E41" s="8" t="inlineStr">
        <is>
          <t>(không có)</t>
        </is>
      </c>
      <c r="F41" s="8" t="inlineStr">
        <is>
          <t>Bước 1 không xin quyền thêm; bước 2 kiểm lại quyền đúng một lần và camera hiện</t>
        </is>
      </c>
      <c r="G41" s="8" t="inlineStr">
        <is>
          <t>Bước 1 số lần xin quyền vẫn 1; bước 2 thành 2 và scanner hiện</t>
        </is>
      </c>
      <c r="H41" s="7" t="inlineStr">
        <is>
          <t>Pass</t>
        </is>
      </c>
      <c r="I41" s="8" t="inlineStr">
        <is>
          <t>AC10 · Đoán lỗi (review M1) · scan_link_qr_screen_test: AC10 (M1) Cài đặt</t>
        </is>
      </c>
    </row>
    <row r="42" ht="74" customHeight="1">
      <c r="A42" s="7" t="inlineStr">
        <is>
          <t>TC-LINKFOLLOW-31</t>
        </is>
      </c>
      <c r="B42" s="7" t="inlineStr">
        <is>
          <t>Sửa mã khi đang bị khóa vì nhập sai hoặc đủ yêu cầu trong ngày</t>
        </is>
      </c>
      <c r="C42" s="8" t="inlineStr">
        <is>
          <t>Đã gửi K7M2Q9XAR4 và bị khóa</t>
        </is>
      </c>
      <c r="D42" s="8" t="inlineStr">
        <is>
          <t>1. Sửa mã thành K7M2Q9XAR5
2. Chờ hết thời gian khóa</t>
        </is>
      </c>
      <c r="E42" s="8" t="inlineStr">
        <is>
          <t>Server trả 429 link_request_locked, Retry-After: 900; 429 link_request_daily_limit, Retry-After: 60</t>
        </is>
      </c>
      <c r="F42" s="8" t="inlineStr">
        <is>
          <t>Câu báo và thời gian chờ vẫn hiện, nút Gửi vẫn tắt; hết giờ nút bật lại, không tự gửi</t>
        </is>
      </c>
      <c r="G42" s="8" t="inlineStr">
        <is>
          <t>Vẫn hiện "Bạn đã nhập sai mã nhiều lần. Thử lại sau 15:00.", nút tắt; daily_limit giữ 60 giây rồi mở lại, repository 1 lần gọi</t>
        </is>
      </c>
      <c r="H42" s="7" t="inlineStr">
        <is>
          <t>Pass</t>
        </is>
      </c>
      <c r="I42" s="8" t="inlineStr">
        <is>
          <t>AC20 · Đoán lỗi (review M2) · enter_link_code_screen_test: AC20 (M2); link_request_controller_test: AC20 (M2) daily_limit</t>
        </is>
      </c>
    </row>
    <row r="43" ht="57.5" customHeight="1">
      <c r="A43" s="7" t="inlineStr">
        <is>
          <t>TC-LINKFOLLOW-32</t>
        </is>
      </c>
      <c r="B43" s="7" t="inlineStr">
        <is>
          <t>Sửa sang mã khác khi bị chặn vì patient cũ từ chối nhiều lần</t>
        </is>
      </c>
      <c r="C43" s="8" t="inlineStr">
        <is>
          <t>Đã gửi K7M2Q9XAR4 và bị chặn</t>
        </is>
      </c>
      <c r="D43" s="8" t="inlineStr">
        <is>
          <t>1. Sửa mã thành K7M2Q9XAR5</t>
        </is>
      </c>
      <c r="E43" s="8" t="inlineStr">
        <is>
          <t>Server trả 429 link_request_cooldown, Retry-After: 86400</t>
        </is>
      </c>
      <c r="F43" s="8" t="inlineStr">
        <is>
          <t>Câu báo và đếm ngược biến mất; nút Gửi bật (chặn chỉ áp cho patient cũ)</t>
        </is>
      </c>
      <c r="G43" s="8" t="inlineStr">
        <is>
          <t>Không còn lỗi, không còn đếm ngược, nút bật</t>
        </is>
      </c>
      <c r="H43" s="7" t="inlineStr">
        <is>
          <t>Pass</t>
        </is>
      </c>
      <c r="I43" s="8" t="inlineStr">
        <is>
          <t>AC20 · Đoán lỗi (review M2) · link_request_controller_test: AC20 (M2) cooldown</t>
        </is>
      </c>
    </row>
    <row r="44"/>
    <row r="45"/>
    <row r="46">
      <c r="G46" s="12" t="inlineStr">
        <is>
          <t>Pass</t>
        </is>
      </c>
      <c r="H46" s="13">
        <f>COUNTIF(H9:H43,"Pass")</f>
        <v/>
      </c>
    </row>
    <row r="47">
      <c r="G47" s="12" t="inlineStr">
        <is>
          <t>Fail</t>
        </is>
      </c>
      <c r="H47" s="13">
        <f>COUNTIF(H9:H43,"Fail")</f>
        <v/>
      </c>
    </row>
    <row r="48">
      <c r="G48" s="12" t="inlineStr">
        <is>
          <t>Pending</t>
        </is>
      </c>
      <c r="H48" s="13">
        <f>COUNTIF(H9:H43,"Pending")</f>
        <v/>
      </c>
    </row>
    <row r="49">
      <c r="G49" s="12" t="inlineStr">
        <is>
          <t>Total</t>
        </is>
      </c>
      <c r="H49" s="13">
        <f>SUM(H46:H48)</f>
        <v/>
      </c>
    </row>
  </sheetData>
  <autoFilter ref="A8:I43"/>
  <conditionalFormatting sqref="H9:H43">
    <cfRule type="cellIs" priority="1" operator="equal" dxfId="0">
      <formula>"Fail"</formula>
    </cfRule>
  </conditionalFormatting>
  <dataValidations count="1">
    <dataValidation sqref="H9:H43" showDropDown="0" showInputMessage="0" showErrorMessage="0" allowBlank="0" type="list">
      <formula1>"Pass,Fail,Pending"</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s>
  <sheetData>
    <row r="1">
      <c r="A1" s="1" t="inlineStr">
        <is>
          <t>Project Name</t>
        </is>
      </c>
      <c r="B1" s="2" t="inlineStr">
        <is>
          <t>DrugTime</t>
        </is>
      </c>
    </row>
    <row r="2">
      <c r="A2" s="1" t="inlineStr">
        <is>
          <t>Module Name</t>
        </is>
      </c>
      <c r="B2" s="2" t="inlineStr">
        <is>
          <t>Gửi và mở link mời người thân (INVITELINK)</t>
        </is>
      </c>
    </row>
    <row r="3">
      <c r="A3" s="1" t="inlineStr">
        <is>
          <t>Created By</t>
        </is>
      </c>
      <c r="B3" s="2" t="inlineStr">
        <is>
          <t>zannguyen</t>
        </is>
      </c>
    </row>
    <row r="4">
      <c r="A4" s="1" t="inlineStr">
        <is>
          <t>Creation Date</t>
        </is>
      </c>
      <c r="B4" s="21" t="n">
        <v>46315</v>
      </c>
    </row>
    <row r="5">
      <c r="A5" s="1" t="inlineStr">
        <is>
          <t>Reviewed By</t>
        </is>
      </c>
      <c r="B5" s="2" t="inlineStr"/>
    </row>
    <row r="6">
      <c r="A6" s="1" t="inlineStr">
        <is>
          <t>Reviewed Date</t>
        </is>
      </c>
      <c r="B6" s="2" t="n"/>
    </row>
    <row r="7">
      <c r="K7" s="4" t="inlineStr">
        <is>
          <t>Equivalence Partitioning</t>
        </is>
      </c>
      <c r="Q7" s="4" t="inlineStr">
        <is>
          <t>Màn Gửi link mời</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row>
    <row r="9" ht="107" customHeight="1">
      <c r="A9" s="7" t="inlineStr">
        <is>
          <t>TC-INVITELINK-01</t>
        </is>
      </c>
      <c r="B9" s="7" t="inlineStr">
        <is>
          <t>Mở Gửi link mời và xem link</t>
        </is>
      </c>
      <c r="C9" s="8" t="inlineStr">
        <is>
          <t>Đã đăng nhập, đã đồng ý family_sharing, mã của tài khoản là K7M2Q9XAR4</t>
        </is>
      </c>
      <c r="D9" s="8" t="inlineStr">
        <is>
          <t>1. Tab Người thân → Gửi link mời</t>
        </is>
      </c>
      <c r="E9" s="8" t="inlineStr">
        <is>
          <t>Mã K7M2Q9XAR4</t>
        </is>
      </c>
      <c r="F9" s="8" t="inlineStr">
        <is>
          <t>Hiện https://drug-time-frontend.vercel.app/link#code=K7M2Q9XAR4; không có cảnh báo</t>
        </is>
      </c>
      <c r="G9" s="8" t="inlineStr">
        <is>
          <t>Hiện đúng link; không có cảnh báo</t>
        </is>
      </c>
      <c r="H9" s="7" t="inlineStr">
        <is>
          <t>Pass</t>
        </is>
      </c>
      <c r="I9" s="8" t="inlineStr">
        <is>
          <t>AC22, AC23 · Decision Table (R1) · share_invite_link_screen_test</t>
        </is>
      </c>
      <c r="K9" s="9" t="inlineStr">
        <is>
          <t>Phần #code của link</t>
        </is>
      </c>
      <c r="L9" s="10" t="inlineStr">
        <is>
          <t>#code=&lt;10 ký tự hợp lệ&gt;</t>
        </is>
      </c>
      <c r="M9" s="10" t="inlineStr">
        <is>
          <t>1</t>
        </is>
      </c>
      <c r="N9" s="10" t="inlineStr">
        <is>
          <t>Thiếu #
Thiếu code hoặc code rỗng
Chữ thường
Có 0/O
Sai độ dài
Chứa ký tự HTML</t>
        </is>
      </c>
      <c r="O9" s="10" t="inlineStr">
        <is>
          <t>2
3
4
5
6
7</t>
        </is>
      </c>
      <c r="Q9" s="10" t="inlineStr">
        <is>
          <t>Tải được mã?</t>
        </is>
      </c>
      <c r="R9" s="11" t="inlineStr">
        <is>
          <t>Yes</t>
        </is>
      </c>
      <c r="S9" s="11" t="inlineStr">
        <is>
          <t>Yes</t>
        </is>
      </c>
      <c r="T9" s="11" t="inlineStr">
        <is>
          <t>No</t>
        </is>
      </c>
    </row>
    <row r="10" ht="41" customHeight="1">
      <c r="A10" s="7" t="inlineStr">
        <is>
          <t>TC-INVITELINK-02</t>
        </is>
      </c>
      <c r="B10" s="7" t="inlineStr">
        <is>
          <t>Chia sẻ link mời</t>
        </is>
      </c>
      <c r="C10" s="8" t="inlineStr">
        <is>
          <t>Đang ở màn Gửi link mời</t>
        </is>
      </c>
      <c r="D10" s="8" t="inlineStr">
        <is>
          <t>1. Bấm Chia sẻ</t>
        </is>
      </c>
      <c r="E10" s="8" t="inlineStr">
        <is>
          <t>Mã K7M2Q9XAR4</t>
        </is>
      </c>
      <c r="F10" s="8" t="inlineStr">
        <is>
          <t>Bảng chia sẻ nhận đúng một chuỗi: câu mời + link; không có tên hay thông tin hồ sơ</t>
        </is>
      </c>
      <c r="G10" s="8" t="inlineStr">
        <is>
          <t>Sharer giả nhận 1 chuỗi đúng inviteShareText(link)</t>
        </is>
      </c>
      <c r="H10" s="7" t="inlineStr">
        <is>
          <t>Pass</t>
        </is>
      </c>
      <c r="I10" s="8" t="inlineStr">
        <is>
          <t>AC22 · share_invite_link_screen_test</t>
        </is>
      </c>
      <c r="Q10" s="10" t="inlineStr">
        <is>
          <t>Đã đồng ý family_sharing?</t>
        </is>
      </c>
      <c r="R10" s="11" t="inlineStr">
        <is>
          <t>Yes</t>
        </is>
      </c>
      <c r="S10" s="11" t="inlineStr">
        <is>
          <t>No</t>
        </is>
      </c>
      <c r="T10" s="11" t="inlineStr">
        <is>
          <t>-</t>
        </is>
      </c>
    </row>
    <row r="11" ht="41" customHeight="1">
      <c r="A11" s="7" t="inlineStr">
        <is>
          <t>TC-INVITELINK-03</t>
        </is>
      </c>
      <c r="B11" s="7" t="inlineStr">
        <is>
          <t>Sao chép link mời</t>
        </is>
      </c>
      <c r="C11" s="8" t="inlineStr">
        <is>
          <t>Đang ở màn Gửi link mời</t>
        </is>
      </c>
      <c r="D11" s="8" t="inlineStr">
        <is>
          <t>1. Bấm Sao chép link</t>
        </is>
      </c>
      <c r="E11" s="8" t="inlineStr">
        <is>
          <t>Mã K7M2Q9XAR4</t>
        </is>
      </c>
      <c r="F11" s="8" t="inlineStr">
        <is>
          <t>Clipboard chứa đúng link; hiện "Đã sao chép link"</t>
        </is>
      </c>
      <c r="G11" s="8" t="inlineStr">
        <is>
          <t>Clipboard.setData nhận đúng link; SnackBar hiện</t>
        </is>
      </c>
      <c r="H11" s="7" t="inlineStr">
        <is>
          <t>Pass</t>
        </is>
      </c>
      <c r="I11" s="8" t="inlineStr">
        <is>
          <t>AC22 · share_invite_link_screen_test</t>
        </is>
      </c>
      <c r="Q11" s="6" t="inlineStr">
        <is>
          <t>Action</t>
        </is>
      </c>
      <c r="R11" s="5" t="inlineStr">
        <is>
          <t>R1</t>
        </is>
      </c>
      <c r="S11" s="5" t="inlineStr">
        <is>
          <t>R2</t>
        </is>
      </c>
      <c r="T11" s="5" t="inlineStr">
        <is>
          <t>R3</t>
        </is>
      </c>
    </row>
    <row r="12" ht="57.5" customHeight="1">
      <c r="A12" s="7" t="inlineStr">
        <is>
          <t>TC-INVITELINK-04</t>
        </is>
      </c>
      <c r="B12" s="7" t="inlineStr">
        <is>
          <t>Gửi link khi chưa bật chia sẻ với gia đình</t>
        </is>
      </c>
      <c r="C12" s="8" t="inlineStr">
        <is>
          <t>Chưa đồng ý family_sharing</t>
        </is>
      </c>
      <c r="D12" s="8" t="inlineStr">
        <is>
          <t>1. Mở Gửi link mời
2. Bấm Mở Quyền riêng tư</t>
        </is>
      </c>
      <c r="E12" s="8" t="inlineStr">
        <is>
          <t>(không có)</t>
        </is>
      </c>
      <c r="F12" s="8" t="inlineStr">
        <is>
          <t>Có cảnh báo người thân chưa gửi được yêu cầu; vẫn có nút Chia sẻ; mở được màn Quyền riêng tư</t>
        </is>
      </c>
      <c r="G12" s="8" t="inlineStr">
        <is>
          <t>Có cảnh báo và nút Chia sẻ; mở PrivacySettingsScreen</t>
        </is>
      </c>
      <c r="H12" s="7" t="inlineStr">
        <is>
          <t>Pass</t>
        </is>
      </c>
      <c r="I12" s="8" t="inlineStr">
        <is>
          <t>AC23 · Decision Table (R2) · share_invite_link_screen_test</t>
        </is>
      </c>
      <c r="Q12" s="10" t="inlineStr">
        <is>
          <t>Hiện link, Chia sẻ, Sao chép</t>
        </is>
      </c>
      <c r="R12" s="11" t="inlineStr">
        <is>
          <t>X</t>
        </is>
      </c>
      <c r="S12" s="11" t="inlineStr">
        <is>
          <t>X</t>
        </is>
      </c>
      <c r="T12" s="11" t="inlineStr"/>
    </row>
    <row r="13" ht="57.5" customHeight="1">
      <c r="A13" s="7" t="inlineStr">
        <is>
          <t>TC-INVITELINK-05</t>
        </is>
      </c>
      <c r="B13" s="7" t="inlineStr">
        <is>
          <t>Không tải được mã liên kết</t>
        </is>
      </c>
      <c r="C13" s="8" t="inlineStr">
        <is>
          <t>GET /family/link-code lỗi (503)</t>
        </is>
      </c>
      <c r="D13" s="8" t="inlineStr">
        <is>
          <t>1. Mở Gửi link mời
2. Bấm Thử lại khi server đã ổn</t>
        </is>
      </c>
      <c r="E13" s="8" t="inlineStr">
        <is>
          <t>Lần 1: lỗi unavailable; lần 2: mã K7M2Q9XAR4</t>
        </is>
      </c>
      <c r="F13" s="8" t="inlineStr">
        <is>
          <t>Lần 1: "Chưa thể tải link mời. Vui lòng thử lại.", không có link, không có nút chia sẻ/sao chép; sau Thử lại hiện link</t>
        </is>
      </c>
      <c r="G13" s="8" t="inlineStr">
        <is>
          <t>Đúng cả hai lần</t>
        </is>
      </c>
      <c r="H13" s="7" t="inlineStr">
        <is>
          <t>Pass</t>
        </is>
      </c>
      <c r="I13" s="8" t="inlineStr">
        <is>
          <t>AC23 · Decision Table (R3) · share_invite_link_screen_test</t>
        </is>
      </c>
      <c r="Q13" s="10" t="inlineStr">
        <is>
          <t>Cảnh báo + lối sang Quyền riêng tư</t>
        </is>
      </c>
      <c r="R13" s="11" t="inlineStr"/>
      <c r="S13" s="11" t="inlineStr">
        <is>
          <t>X</t>
        </is>
      </c>
      <c r="T13" s="11" t="inlineStr"/>
    </row>
    <row r="14" ht="57.5" customHeight="1">
      <c r="A14" s="7" t="inlineStr">
        <is>
          <t>TC-INVITELINK-06</t>
        </is>
      </c>
      <c r="B14" s="7" t="inlineStr">
        <is>
          <t>Ghép link và đọc ngược ra mã</t>
        </is>
      </c>
      <c r="C14" s="8" t="inlineStr">
        <is>
          <t>Không</t>
        </is>
      </c>
      <c r="D14" s="8" t="inlineStr">
        <is>
          <t>1. Ghép link từ mã
2. Đọc lại mã từ link</t>
        </is>
      </c>
      <c r="E14" s="8" t="inlineStr">
        <is>
          <t>K7M2Q9XAR4, host drug-time-frontend.vercel.app</t>
        </is>
      </c>
      <c r="F14" s="8" t="inlineStr">
        <is>
          <t>Link https://drug-time-frontend.vercel.app/link#code=K7M2Q9XAR4; đọc lại được K7M2Q9XAR4</t>
        </is>
      </c>
      <c r="G14" s="8" t="inlineStr">
        <is>
          <t>Đúng</t>
        </is>
      </c>
      <c r="H14" s="7" t="inlineStr">
        <is>
          <t>Pass</t>
        </is>
      </c>
      <c r="I14" s="8" t="inlineStr">
        <is>
          <t>AC22 · link_code_test: AC22</t>
        </is>
      </c>
      <c r="Q14" s="10" t="inlineStr">
        <is>
          <t>Thông báo lỗi + Thử lại, không có link</t>
        </is>
      </c>
      <c r="R14" s="11" t="inlineStr"/>
      <c r="S14" s="11" t="inlineStr"/>
      <c r="T14" s="11" t="inlineStr">
        <is>
          <t>X</t>
        </is>
      </c>
    </row>
    <row r="15" ht="74" customHeight="1">
      <c r="A15" s="7" t="inlineStr">
        <is>
          <t>TC-INVITELINK-07</t>
        </is>
      </c>
      <c r="B15" s="7" t="inlineStr">
        <is>
          <t>Trang /link đọc phần #code</t>
        </is>
      </c>
      <c r="C15" s="8" t="inlineStr">
        <is>
          <t>Không</t>
        </is>
      </c>
      <c r="D15" s="8" t="inlineStr">
        <is>
          <t>1. Gọi parseInviteHash với từng giá trị</t>
        </is>
      </c>
      <c r="E15" s="8" t="inlineStr">
        <is>
          <t>#code=K7M2Q9XAR4; code=K7M2Q9XAR4; (blank); #ma=…; #code=; chữ thường; có 0/O; 9/11 ký tự; #code=&lt;script&gt;</t>
        </is>
      </c>
      <c r="F15" s="8" t="inlineStr">
        <is>
          <t>Hai giá trị đầu trả mã; còn lại trả null</t>
        </is>
      </c>
      <c r="G15" s="8" t="inlineStr">
        <is>
          <t>4/4 test vitest pass</t>
        </is>
      </c>
      <c r="H15" s="7" t="inlineStr">
        <is>
          <t>Pass</t>
        </is>
      </c>
      <c r="I15" s="8" t="inlineStr">
        <is>
          <t>AC17 · EP (1-7) · landing lib/invite/linkCode.test.ts</t>
        </is>
      </c>
    </row>
    <row r="16" ht="57.5" customHeight="1">
      <c r="A16" s="7" t="inlineStr">
        <is>
          <t>TC-INVITELINK-08</t>
        </is>
      </c>
      <c r="B16" s="7" t="inlineStr">
        <is>
          <t>HTML trang /link không lộ mã và không được lập chỉ mục</t>
        </is>
      </c>
      <c r="C16" s="8" t="inlineStr">
        <is>
          <t>Landing build và chạy bằng next start</t>
        </is>
      </c>
      <c r="D16" s="8" t="inlineStr">
        <is>
          <t>1. curl http://127.0.0.1:3917/link</t>
        </is>
      </c>
      <c r="E16" s="8" t="inlineStr">
        <is>
          <t>(không có)</t>
        </is>
      </c>
      <c r="F16" s="8" t="inlineStr">
        <is>
          <t>Có meta robots noindex, nofollow; thẻ OG chỉ có nội dung chung; không chứa mã; không có script ngoài</t>
        </is>
      </c>
      <c r="G16" s="8" t="inlineStr">
        <is>
          <t>robots "noindex, nofollow"; OG chung; 0 lần xuất hiện K7M2; 0 script ngoài</t>
        </is>
      </c>
      <c r="H16" s="7" t="inlineStr">
        <is>
          <t>Pass</t>
        </is>
      </c>
      <c r="I16" s="8" t="inlineStr">
        <is>
          <t>AC17 · Bảo mật · evidence/implement-P16.log</t>
        </is>
      </c>
    </row>
    <row r="17" ht="90.5" customHeight="1">
      <c r="A17" s="7" t="inlineStr">
        <is>
          <t>TC-INVITELINK-09</t>
        </is>
      </c>
      <c r="B17" s="7" t="inlineStr">
        <is>
          <t>Mở trang /link trên trình duyệt</t>
        </is>
      </c>
      <c r="C17" s="8" t="inlineStr">
        <is>
          <t>Landing đã deploy</t>
        </is>
      </c>
      <c r="D17" s="8" t="inlineStr">
        <is>
          <t>1. Mở link mời trên Chrome Android và desktop
2. Bấm Sao chép mã
3. Xem tab Network</t>
        </is>
      </c>
      <c r="E17" s="8" t="inlineStr">
        <is>
          <t>/link#code=K7M2Q9XAR4; /link#code=abc</t>
        </is>
      </c>
      <c r="F17" s="8" t="inlineStr">
        <is>
          <t>Hiện K7M2 Q9XA R4, nút sao chép, Mở bằng ứng dụng (chỉ Android), Tải ứng dụng, hướng dẫn iPhone; không có request tới backend hay analytics; mã sai hiện thông báo chung</t>
        </is>
      </c>
      <c r="G17" s="8" t="inlineStr"/>
      <c r="H17" s="7" t="inlineStr">
        <is>
          <t>Pending</t>
        </is>
      </c>
      <c r="I17" s="8" t="inlineStr">
        <is>
          <t>AC17 · manual (trình duyệt)</t>
        </is>
      </c>
    </row>
    <row r="18" ht="41" customHeight="1">
      <c r="A18" s="7" t="inlineStr">
        <is>
          <t>TC-INVITELINK-10</t>
        </is>
      </c>
      <c r="B18" s="7" t="inlineStr">
        <is>
          <t>File assetlinks.json phục vụ đúng</t>
        </is>
      </c>
      <c r="C18" s="8" t="inlineStr">
        <is>
          <t>Landing build và chạy bằng next start</t>
        </is>
      </c>
      <c r="D18" s="8" t="inlineStr">
        <is>
          <t>1. curl -i http://127.0.0.1:3917/.well-known/assetlinks.json</t>
        </is>
      </c>
      <c r="E18" s="8" t="inlineStr">
        <is>
          <t>(không có)</t>
        </is>
      </c>
      <c r="F18" s="8" t="inlineStr">
        <is>
          <t>200, Content-Type application/json</t>
        </is>
      </c>
      <c r="G18" s="8" t="inlineStr">
        <is>
          <t>200 OK, Content-Type: application/json; charset=UTF-8</t>
        </is>
      </c>
      <c r="H18" s="7" t="inlineStr">
        <is>
          <t>Pass</t>
        </is>
      </c>
      <c r="I18" s="8" t="inlineStr">
        <is>
          <t>AC18 (local) · evidence/implement-P16.log</t>
        </is>
      </c>
    </row>
    <row r="19" ht="74" customHeight="1">
      <c r="A19" s="7" t="inlineStr">
        <is>
          <t>TC-INVITELINK-11</t>
        </is>
      </c>
      <c r="B19" s="7" t="inlineStr">
        <is>
          <t>App Links được Android xác minh trên production</t>
        </is>
      </c>
      <c r="C19" s="8" t="inlineStr">
        <is>
          <t>Landing đã deploy lên drug-time-frontend.vercel.app; cài APK ký bằng khóa có fingerprint trong assetlinks.json</t>
        </is>
      </c>
      <c r="D19" s="8" t="inlineStr">
        <is>
          <t>1. curl -i https://drug-time-frontend.vercel.app/.well-known/assetlinks.json
2. adb shell pm get-app-links vn.drugtime.drugtime_mobile</t>
        </is>
      </c>
      <c r="E19" s="8" t="inlineStr">
        <is>
          <t>(không có)</t>
        </is>
      </c>
      <c r="F19" s="8" t="inlineStr">
        <is>
          <t>200 application/json; host drug-time-frontend.vercel.app ở trạng thái verified</t>
        </is>
      </c>
      <c r="G19" s="8" t="inlineStr"/>
      <c r="H19" s="7" t="inlineStr">
        <is>
          <t>Pending</t>
        </is>
      </c>
      <c r="I19" s="8" t="inlineStr">
        <is>
          <t>AC18 · manual (cần deploy production, Q1-A)</t>
        </is>
      </c>
    </row>
    <row r="20" ht="74" customHeight="1">
      <c r="A20" s="7" t="inlineStr">
        <is>
          <t>TC-INVITELINK-12</t>
        </is>
      </c>
      <c r="B20" s="7" t="inlineStr">
        <is>
          <t>Bấm link mời trong Zalo và SMS</t>
        </is>
      </c>
      <c r="C20" s="8" t="inlineStr">
        <is>
          <t>Android thật đã cài APK demo; landing đã lên production</t>
        </is>
      </c>
      <c r="D20" s="8" t="inlineStr">
        <is>
          <t>1. Gửi link qua Zalo, bấm link
2. Gửi qua SMS, bấm link
3. Nếu Zalo mở trình duyệt riêng: bấm Mở bằng ứng dụng DrugTime</t>
        </is>
      </c>
      <c r="E20" s="8" t="inlineStr">
        <is>
          <t>https://drug-time-frontend.vercel.app/link#code=&lt;mã thật&gt;</t>
        </is>
      </c>
      <c r="F20" s="8" t="inlineStr">
        <is>
          <t>App mở màn nhập mã đã điền sẵn; với trình duyệt của Zalo, nút Mở bằng ứng dụng vào được app</t>
        </is>
      </c>
      <c r="G20" s="8" t="inlineStr"/>
      <c r="H20" s="7" t="inlineStr">
        <is>
          <t>Pending</t>
        </is>
      </c>
      <c r="I20" s="8" t="inlineStr">
        <is>
          <t>AC19 · manual</t>
        </is>
      </c>
    </row>
    <row r="21" ht="41" customHeight="1">
      <c r="A21" s="7" t="inlineStr">
        <is>
          <t>TC-INVITELINK-13</t>
        </is>
      </c>
      <c r="B21" s="7" t="inlineStr">
        <is>
          <t>Chia sẻ link qua bảng chia sẻ thật</t>
        </is>
      </c>
      <c r="C21" s="8" t="inlineStr">
        <is>
          <t>Android thật có Zalo</t>
        </is>
      </c>
      <c r="D21" s="8" t="inlineStr">
        <is>
          <t>1. Tab Người thân → Gửi link mời → Chia sẻ
2. Chọn Zalo, gửi cho một người</t>
        </is>
      </c>
      <c r="E21" s="8" t="inlineStr">
        <is>
          <t>(không có)</t>
        </is>
      </c>
      <c r="F21" s="8" t="inlineStr">
        <is>
          <t>Zalo nhận đúng câu mời kèm link</t>
        </is>
      </c>
      <c r="G21" s="8" t="inlineStr"/>
      <c r="H21" s="7" t="inlineStr">
        <is>
          <t>Pending</t>
        </is>
      </c>
      <c r="I21" s="8" t="inlineStr">
        <is>
          <t>AC22 · manual</t>
        </is>
      </c>
    </row>
    <row r="22"/>
    <row r="23"/>
    <row r="24">
      <c r="G24" s="12" t="inlineStr">
        <is>
          <t>Pass</t>
        </is>
      </c>
      <c r="H24" s="13">
        <f>COUNTIF(H9:H21,"Pass")</f>
        <v/>
      </c>
    </row>
    <row r="25">
      <c r="G25" s="12" t="inlineStr">
        <is>
          <t>Fail</t>
        </is>
      </c>
      <c r="H25" s="13">
        <f>COUNTIF(H9:H21,"Fail")</f>
        <v/>
      </c>
    </row>
    <row r="26">
      <c r="G26" s="12" t="inlineStr">
        <is>
          <t>Pending</t>
        </is>
      </c>
      <c r="H26" s="13">
        <f>COUNTIF(H9:H21,"Pending")</f>
        <v/>
      </c>
    </row>
    <row r="27">
      <c r="G27" s="12" t="inlineStr">
        <is>
          <t>Total</t>
        </is>
      </c>
      <c r="H27" s="13">
        <f>SUM(H24:H26)</f>
        <v/>
      </c>
    </row>
  </sheetData>
  <autoFilter ref="A8:I21"/>
  <conditionalFormatting sqref="H9:H21">
    <cfRule type="cellIs" priority="1" operator="equal" dxfId="0">
      <formula>"Fail"</formula>
    </cfRule>
  </conditionalFormatting>
  <dataValidations count="1">
    <dataValidation sqref="H9:H21" showDropDown="0" showInputMessage="0" showErrorMessage="0" allowBlank="0" type="list">
      <formula1>"Pass,Fail,Pending"</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s>
  <sheetData>
    <row r="1">
      <c r="A1" s="1" t="inlineStr">
        <is>
          <t>Project Name</t>
        </is>
      </c>
      <c r="B1" s="2" t="inlineStr">
        <is>
          <t>DrugTime</t>
        </is>
      </c>
    </row>
    <row r="2">
      <c r="A2" s="1" t="inlineStr">
        <is>
          <t>Module Name</t>
        </is>
      </c>
      <c r="B2" s="2" t="inlineStr">
        <is>
          <t>Khung điều hướng: tab Hồ sơ và Người thân (APPNAV)</t>
        </is>
      </c>
    </row>
    <row r="3">
      <c r="A3" s="1" t="inlineStr">
        <is>
          <t>Created By</t>
        </is>
      </c>
      <c r="B3" s="2" t="inlineStr">
        <is>
          <t>zannguyen</t>
        </is>
      </c>
    </row>
    <row r="4">
      <c r="A4" s="1" t="inlineStr">
        <is>
          <t>Creation Date</t>
        </is>
      </c>
      <c r="B4" s="21" t="n">
        <v>46315</v>
      </c>
    </row>
    <row r="5">
      <c r="A5" s="1" t="inlineStr">
        <is>
          <t>Reviewed By</t>
        </is>
      </c>
      <c r="B5" s="2" t="inlineStr"/>
    </row>
    <row r="6">
      <c r="A6" s="1" t="inlineStr">
        <is>
          <t>Reviewed Date</t>
        </is>
      </c>
      <c r="B6" s="2" t="n"/>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row>
    <row r="9" ht="57.5" customHeight="1">
      <c r="A9" s="7" t="inlineStr">
        <is>
          <t>TC-APPNAV-01</t>
        </is>
      </c>
      <c r="B9" s="7" t="inlineStr">
        <is>
          <t>Mở tab Hồ sơ</t>
        </is>
      </c>
      <c r="C9" s="8" t="inlineStr">
        <is>
          <t>Đã đăng nhập</t>
        </is>
      </c>
      <c r="D9" s="8" t="inlineStr">
        <is>
          <t>1. Bấm tab Hồ sơ</t>
        </is>
      </c>
      <c r="E9" s="8" t="inlineStr">
        <is>
          <t>(không có)</t>
        </is>
      </c>
      <c r="F9" s="8" t="inlineStr">
        <is>
          <t>Hiện màn Hồ sơ có mục Người giám sát; không có thẻ UI Catalog hay lối tắt màn Đăng nhập</t>
        </is>
      </c>
      <c r="G9" s="8" t="inlineStr">
        <is>
          <t>ProfileScreen có supervisors-tile; không có UI Catalog</t>
        </is>
      </c>
      <c r="H9" s="7" t="inlineStr">
        <is>
          <t>Pass</t>
        </is>
      </c>
      <c r="I9" s="8" t="inlineStr">
        <is>
          <t>AC24 · app_shell_test: AC24</t>
        </is>
      </c>
    </row>
    <row r="10" ht="41" customHeight="1">
      <c r="A10" s="7" t="inlineStr">
        <is>
          <t>TC-APPNAV-02</t>
        </is>
      </c>
      <c r="B10" s="7" t="inlineStr">
        <is>
          <t>Đăng xuất từ menu cài đặt của Hồ sơ</t>
        </is>
      </c>
      <c r="C10" s="8" t="inlineStr">
        <is>
          <t>Đã đăng nhập</t>
        </is>
      </c>
      <c r="D10" s="8" t="inlineStr">
        <is>
          <t>1. Tab Hồ sơ → nút cài đặt → Đăng xuất</t>
        </is>
      </c>
      <c r="E10" s="8" t="inlineStr">
        <is>
          <t>(không có)</t>
        </is>
      </c>
      <c r="F10" s="8" t="inlineStr">
        <is>
          <t>Về màn Đăng nhập; phiên bị xóa</t>
        </is>
      </c>
      <c r="G10" s="8" t="inlineStr">
        <is>
          <t>Hiện LoginMobileScreen; phiên null</t>
        </is>
      </c>
      <c r="H10" s="7" t="inlineStr">
        <is>
          <t>Pass</t>
        </is>
      </c>
      <c r="I10" s="8" t="inlineStr">
        <is>
          <t>AC24 · auth_flow_test: (e) Đăng xuất</t>
        </is>
      </c>
    </row>
    <row r="11" ht="41" customHeight="1">
      <c r="A11" s="7" t="inlineStr">
        <is>
          <t>TC-APPNAV-03</t>
        </is>
      </c>
      <c r="B11" s="7" t="inlineStr">
        <is>
          <t>Menu cài đặt của Hồ sơ không còn UI Catalog</t>
        </is>
      </c>
      <c r="C11" s="8" t="inlineStr">
        <is>
          <t>Đã đăng nhập, ở tab Hồ sơ</t>
        </is>
      </c>
      <c r="D11" s="8" t="inlineStr">
        <is>
          <t>1. Bấm nút cài đặt</t>
        </is>
      </c>
      <c r="E11" s="8" t="inlineStr">
        <is>
          <t>(không có)</t>
        </is>
      </c>
      <c r="F11" s="8" t="inlineStr">
        <is>
          <t>Menu chỉ có một mục "Đăng xuất"</t>
        </is>
      </c>
      <c r="G11" s="8" t="inlineStr">
        <is>
          <t>1 mục Đăng xuất</t>
        </is>
      </c>
      <c r="H11" s="7" t="inlineStr">
        <is>
          <t>Pass</t>
        </is>
      </c>
      <c r="I11" s="8" t="inlineStr">
        <is>
          <t>AC25 · app_shell_test: AC25</t>
        </is>
      </c>
    </row>
    <row r="12" ht="30" customHeight="1">
      <c r="A12" s="7" t="inlineStr">
        <is>
          <t>TC-APPNAV-04</t>
        </is>
      </c>
      <c r="B12" s="7" t="inlineStr">
        <is>
          <t>Mở route /dev-catalog</t>
        </is>
      </c>
      <c r="C12" s="8" t="inlineStr">
        <is>
          <t>Không</t>
        </is>
      </c>
      <c r="D12" s="8" t="inlineStr">
        <is>
          <t>1. Gọi onGenerateRoute với /dev-catalog</t>
        </is>
      </c>
      <c r="E12" s="8" t="inlineStr">
        <is>
          <t>/dev-catalog</t>
        </is>
      </c>
      <c r="F12" s="8" t="inlineStr">
        <is>
          <t>Không có route (null)</t>
        </is>
      </c>
      <c r="G12" s="8" t="inlineStr">
        <is>
          <t>null</t>
        </is>
      </c>
      <c r="H12" s="7" t="inlineStr">
        <is>
          <t>Pass</t>
        </is>
      </c>
      <c r="I12" s="8" t="inlineStr">
        <is>
          <t>AC25 · app_shell_test: AC25</t>
        </is>
      </c>
    </row>
    <row r="13" ht="41" customHeight="1">
      <c r="A13" s="7" t="inlineStr">
        <is>
          <t>TC-APPNAV-05</t>
        </is>
      </c>
      <c r="B13" s="7" t="inlineStr">
        <is>
          <t>Mở tab Người thân</t>
        </is>
      </c>
      <c r="C13" s="8" t="inlineStr">
        <is>
          <t>Đã đăng nhập</t>
        </is>
      </c>
      <c r="D13" s="8" t="inlineStr">
        <is>
          <t>1. Bấm tab Người thân</t>
        </is>
      </c>
      <c r="E13" s="8" t="inlineStr">
        <is>
          <t>(không có)</t>
        </is>
      </c>
      <c r="F13" s="8" t="inlineStr">
        <is>
          <t>Hiện các thẻ Mã liên kết của tôi, Gửi link mời, Theo dõi người thân</t>
        </is>
      </c>
      <c r="G13" s="8" t="inlineStr">
        <is>
          <t>Hiện FamilyTabScreen; thẻ Mã liên kết của tôi mở màn QR của 3.11</t>
        </is>
      </c>
      <c r="H13" s="7" t="inlineStr">
        <is>
          <t>Pass</t>
        </is>
      </c>
      <c r="I13" s="8" t="inlineStr">
        <is>
          <t>AC11 · app_shell_test, family_tab_screen_test</t>
        </is>
      </c>
    </row>
    <row r="14"/>
    <row r="15"/>
    <row r="16">
      <c r="G16" s="12" t="inlineStr">
        <is>
          <t>Pass</t>
        </is>
      </c>
      <c r="H16" s="13">
        <f>COUNTIF(H9:H13,"Pass")</f>
        <v/>
      </c>
    </row>
    <row r="17">
      <c r="G17" s="12" t="inlineStr">
        <is>
          <t>Fail</t>
        </is>
      </c>
      <c r="H17" s="13">
        <f>COUNTIF(H9:H13,"Fail")</f>
        <v/>
      </c>
    </row>
    <row r="18">
      <c r="G18" s="12" t="inlineStr">
        <is>
          <t>Pending</t>
        </is>
      </c>
      <c r="H18" s="13">
        <f>COUNTIF(H9:H13,"Pending")</f>
        <v/>
      </c>
    </row>
    <row r="19">
      <c r="G19" s="12" t="inlineStr">
        <is>
          <t>Total</t>
        </is>
      </c>
      <c r="H19" s="13">
        <f>SUM(H16:H18)</f>
        <v/>
      </c>
    </row>
  </sheetData>
  <autoFilter ref="A8:I13"/>
  <conditionalFormatting sqref="H9:H13">
    <cfRule type="cellIs" priority="1" operator="equal" dxfId="0">
      <formula>"Fail"</formula>
    </cfRule>
  </conditionalFormatting>
  <dataValidations count="1">
    <dataValidation sqref="H9:H13" showDropDown="0" showInputMessage="0" showErrorMessage="0" allowBlank="0" type="list">
      <formula1>"Pass,Fail,Pending"</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1"/>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s>
  <sheetData>
    <row r="1">
      <c r="A1" s="1" t="inlineStr">
        <is>
          <t>Project Name</t>
        </is>
      </c>
      <c r="B1" s="2" t="inlineStr">
        <is>
          <t>DrugTime</t>
        </is>
      </c>
    </row>
    <row r="2">
      <c r="A2" s="1" t="inlineStr">
        <is>
          <t>Module Name</t>
        </is>
      </c>
      <c r="B2" s="2" t="inlineStr">
        <is>
          <t>Duyệt yêu cầu liên kết người thân (LINKAPPROVE)</t>
        </is>
      </c>
    </row>
    <row r="3">
      <c r="A3" s="1" t="inlineStr">
        <is>
          <t>Created By</t>
        </is>
      </c>
      <c r="B3" s="2" t="inlineStr">
        <is>
          <t>zannguyen</t>
        </is>
      </c>
    </row>
    <row r="4">
      <c r="A4" s="1" t="inlineStr">
        <is>
          <t>Creation Date</t>
        </is>
      </c>
      <c r="B4" s="21" t="n">
        <v>46316</v>
      </c>
    </row>
    <row r="5">
      <c r="A5" s="1" t="inlineStr">
        <is>
          <t>Reviewed By</t>
        </is>
      </c>
      <c r="B5" s="2" t="inlineStr"/>
    </row>
    <row r="6">
      <c r="A6" s="1" t="inlineStr">
        <is>
          <t>Reviewed Date</t>
        </is>
      </c>
      <c r="B6" s="2" t="n"/>
    </row>
    <row r="7">
      <c r="K7" s="4" t="inlineStr">
        <is>
          <t>Equivalence Partitioning</t>
        </is>
      </c>
      <c r="Q7" s="4" t="inlineStr">
        <is>
          <t>BS-04: người thân gửi lại yêu cầu</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row>
    <row r="9" ht="74" customHeight="1">
      <c r="A9" s="7" t="inlineStr">
        <is>
          <t>TC-LINKAPPROVE-01</t>
        </is>
      </c>
      <c r="B9" s="7" t="inlineStr">
        <is>
          <t>Xem danh sách yêu cầu đang chờ của chính mình</t>
        </is>
      </c>
      <c r="C9" s="8" t="inlineStr">
        <is>
          <t>Patient P có 2 yêu cầu pending từ F1 (gửi trước) và F2 (gửi sau); có thêm yêu cầu pending gửi cho patient khác</t>
        </is>
      </c>
      <c r="D9" s="8" t="inlineStr">
        <is>
          <t>1. Đăng nhập bằng P
2. GET /family/links?status=pending</t>
        </is>
      </c>
      <c r="E9" s="8" t="inlineStr">
        <is>
          <t>status=pending</t>
        </is>
      </c>
      <c r="F9" s="8" t="inlineStr">
        <is>
          <t>200; items gồm đúng 2 mục theo thứ tự F2, F1; mỗi mục chỉ có link_id, family_user_id, family_full_name, status=pending, requested_at; có audit list_pending/allowed</t>
        </is>
      </c>
      <c r="G9" s="8" t="inlineStr">
        <is>
          <t>Đúng như mong đợi</t>
        </is>
      </c>
      <c r="H9" s="7" t="inlineStr">
        <is>
          <t>Pass</t>
        </is>
      </c>
      <c r="I9" s="8" t="inlineStr">
        <is>
          <t>AC2 · test_list_own_pending_minimal_order_without_consents__AC12_AC13 · evidence/test-integration.log</t>
        </is>
      </c>
      <c r="K9" s="9" t="inlineStr">
        <is>
          <t>family_user_id (body approve)</t>
        </is>
      </c>
      <c r="L9" s="10" t="inlineStr">
        <is>
          <t>UUID đúng người gửi yêu cầu</t>
        </is>
      </c>
      <c r="M9" s="10" t="inlineStr">
        <is>
          <t>1</t>
        </is>
      </c>
      <c r="N9" s="10" t="inlineStr">
        <is>
          <t>UUID của người khác
không phải UUID</t>
        </is>
      </c>
      <c r="O9" s="10" t="inlineStr">
        <is>
          <t>4
5</t>
        </is>
      </c>
      <c r="Q9" s="10" t="inlineStr">
        <is>
          <t>Số lần bị cùng patient từ chối liên tiếp (từ lần chấp thuận gần nhất)</t>
        </is>
      </c>
      <c r="R9" s="11" t="inlineStr">
        <is>
          <t>0–4</t>
        </is>
      </c>
      <c r="S9" s="11" t="inlineStr">
        <is>
          <t>5</t>
        </is>
      </c>
      <c r="T9" s="11" t="inlineStr">
        <is>
          <t>5</t>
        </is>
      </c>
    </row>
    <row r="10" ht="57.5" customHeight="1">
      <c r="A10" s="7" t="inlineStr">
        <is>
          <t>TC-LINKAPPROVE-02</t>
        </is>
      </c>
      <c r="B10" s="7" t="inlineStr">
        <is>
          <t>Xem danh sách khi không có yêu cầu nào</t>
        </is>
      </c>
      <c r="C10" s="8" t="inlineStr">
        <is>
          <t>Patient không có yêu cầu pending</t>
        </is>
      </c>
      <c r="D10" s="8" t="inlineStr">
        <is>
          <t>1. GET /family/links?status=pending</t>
        </is>
      </c>
      <c r="E10" s="8" t="inlineStr">
        <is>
          <t>status=pending</t>
        </is>
      </c>
      <c r="F10" s="8" t="inlineStr">
        <is>
          <t>200; {"items": []}</t>
        </is>
      </c>
      <c r="G10" s="8" t="inlineStr">
        <is>
          <t>200; {"items": []}</t>
        </is>
      </c>
      <c r="H10" s="7" t="inlineStr">
        <is>
          <t>Pass</t>
        </is>
      </c>
      <c r="I10" s="8" t="inlineStr">
        <is>
          <t>AC2 · test_list_pending_empty_returns_200_items_empty__AC13 · evidence/test-integration.log</t>
        </is>
      </c>
      <c r="K10" s="9" t="inlineStr">
        <is>
          <t>consent_confirmed</t>
        </is>
      </c>
      <c r="L10" s="10" t="inlineStr">
        <is>
          <t>true (boolean)</t>
        </is>
      </c>
      <c r="M10" s="10" t="inlineStr">
        <is>
          <t>2</t>
        </is>
      </c>
      <c r="N10" s="10" t="inlineStr">
        <is>
          <t>false
thiếu field
"true" (chuỗi)</t>
        </is>
      </c>
      <c r="O10" s="10" t="inlineStr">
        <is>
          <t>6
7
8</t>
        </is>
      </c>
      <c r="Q10" s="10" t="inlineStr">
        <is>
          <t>Còn trong 24 giờ kể từ lần từ chối thứ 5?</t>
        </is>
      </c>
      <c r="R10" s="11" t="inlineStr">
        <is>
          <t>-</t>
        </is>
      </c>
      <c r="S10" s="11" t="inlineStr">
        <is>
          <t>Có</t>
        </is>
      </c>
      <c r="T10" s="11" t="inlineStr">
        <is>
          <t>Không</t>
        </is>
      </c>
    </row>
    <row r="11" ht="90.5" customHeight="1">
      <c r="A11" s="7" t="inlineStr">
        <is>
          <t>TC-LINKAPPROVE-03</t>
        </is>
      </c>
      <c r="B11" s="7" t="inlineStr">
        <is>
          <t>Gửi query lạ khi xem danh sách (patient_id)</t>
        </is>
      </c>
      <c r="C11" s="8" t="inlineStr">
        <is>
          <t>Patient đã đăng nhập</t>
        </is>
      </c>
      <c r="D11" s="8" t="inlineStr">
        <is>
          <t>1. GET /family/links?status=pending&amp;patient_id=&lt;UUID khác&gt;</t>
        </is>
      </c>
      <c r="E11" s="8" t="inlineStr">
        <is>
          <t>patient_id=&lt;UUID patient khác&gt;</t>
        </is>
      </c>
      <c r="F11" s="8" t="inlineStr">
        <is>
          <t>422 ValidationError; không gọi use case</t>
        </is>
      </c>
      <c r="G11" s="8" t="inlineStr">
        <is>
          <t>422</t>
        </is>
      </c>
      <c r="H11" s="7" t="inlineStr">
        <is>
          <t>Pass</t>
        </is>
      </c>
      <c r="I11" s="8" t="inlineStr">
        <is>
          <t>AC5 · Đoán lỗi (truy cập dữ liệu người khác) · test_list_rejects_missing_invalid_duplicate_or_extra_query · evidence/implement-final-backend.log</t>
        </is>
      </c>
      <c r="K11" s="9" t="inlineStr">
        <is>
          <t>document_version</t>
        </is>
      </c>
      <c r="L11" s="10" t="inlineStr">
        <is>
          <t>2026-10-v1 (bản hiện hành)</t>
        </is>
      </c>
      <c r="M11" s="10" t="inlineStr">
        <is>
          <t>3</t>
        </is>
      </c>
      <c r="N11" s="10" t="inlineStr">
        <is>
          <t>(blank)
a*65
phiên bản khác bản hiện hành</t>
        </is>
      </c>
      <c r="O11" s="10" t="inlineStr">
        <is>
          <t>9
10
11</t>
        </is>
      </c>
      <c r="Q11" s="6" t="inlineStr">
        <is>
          <t>Action</t>
        </is>
      </c>
      <c r="R11" s="5" t="inlineStr">
        <is>
          <t>R1</t>
        </is>
      </c>
      <c r="S11" s="5" t="inlineStr">
        <is>
          <t>R2</t>
        </is>
      </c>
      <c r="T11" s="5" t="inlineStr">
        <is>
          <t>R3</t>
        </is>
      </c>
    </row>
    <row r="12" ht="107" customHeight="1">
      <c r="A12" s="7" t="inlineStr">
        <is>
          <t>TC-LINKAPPROVE-04</t>
        </is>
      </c>
      <c r="B12" s="7" t="inlineStr">
        <is>
          <t>Chấp thuận yêu cầu với xác nhận đồng ý hợp lệ</t>
        </is>
      </c>
      <c r="C12" s="8" t="inlineStr">
        <is>
          <t>P đã đồng ý family_sharing 2026-10-v1; có link pending từ F</t>
        </is>
      </c>
      <c r="D12" s="8" t="inlineStr">
        <is>
          <t>1. Đăng nhập bằng P
2. POST /family/links/{link_id}/approve</t>
        </is>
      </c>
      <c r="E12" s="8" t="inlineStr">
        <is>
          <t>{"family_user_id": "&lt;F&gt;", "consent_confirmed": true, "document_version": "2026-10-v1"}</t>
        </is>
      </c>
      <c r="F12" s="8" t="inlineStr">
        <is>
          <t>200; status=active, sharing_enabled=false, consent_confirmation.purpose=family_sharing; đúng 1 dòng family_link_consent_confirmations; link rời danh sách chờ và có trong GET /family/caregivers</t>
        </is>
      </c>
      <c r="G12" s="8" t="inlineStr">
        <is>
          <t>Đúng như mong đợi</t>
        </is>
      </c>
      <c r="H12" s="7" t="inlineStr">
        <is>
          <t>Pass</t>
        </is>
      </c>
      <c r="I12" s="8" t="inlineStr">
        <is>
          <t>AC3 · EP (1,2,3) · test_approve_success_persists_evidence_and_activates_link__AC2, test_approved_link_moves_from_pending_to_caregivers__AC3 · evidence/test-integration.log</t>
        </is>
      </c>
      <c r="Q12" s="10" t="inlineStr">
        <is>
          <t>201: tạo yêu cầu mới (pending)</t>
        </is>
      </c>
      <c r="R12" s="11" t="inlineStr">
        <is>
          <t>X</t>
        </is>
      </c>
      <c r="S12" s="11" t="inlineStr"/>
      <c r="T12" s="11" t="inlineStr">
        <is>
          <t>X</t>
        </is>
      </c>
    </row>
    <row r="13" ht="74" customHeight="1">
      <c r="A13" s="7" t="inlineStr">
        <is>
          <t>TC-LINKAPPROVE-05</t>
        </is>
      </c>
      <c r="B13" s="7" t="inlineStr">
        <is>
          <t>Chấp thuận thay bởi người thân, người lạ, admin hoặc sai family_user_id</t>
        </is>
      </c>
      <c r="C13" s="8" t="inlineStr">
        <is>
          <t>Link pending P←F; có người lạ X và tài khoản admin A</t>
        </is>
      </c>
      <c r="D13" s="8" t="inlineStr">
        <is>
          <t>1. POST approve không token
2. POST approve bằng token F, X, A
3. POST approve bằng token P với family_user_id của X</t>
        </is>
      </c>
      <c r="E13" s="8" t="inlineStr">
        <is>
          <t>family_user_id = &lt;F&gt; hoặc &lt;X&gt;</t>
        </is>
      </c>
      <c r="F13" s="8" t="inlineStr">
        <is>
          <t>401 khi không token; 403 {"detail": "khong_co_quyen"} cho các trường hợp còn lại; link vẫn pending, không có bằng chứng; có audit denied</t>
        </is>
      </c>
      <c r="G13" s="8" t="inlineStr">
        <is>
          <t>Đúng như mong đợi</t>
        </is>
      </c>
      <c r="H13" s="7" t="inlineStr">
        <is>
          <t>Pass</t>
        </is>
      </c>
      <c r="I13" s="8" t="inlineStr">
        <is>
          <t>AC5 · EP (4) · test_approve_denied_caller_matrix__AC4_AC10_AC16 · evidence/test-integration.log</t>
        </is>
      </c>
      <c r="Q13" s="10" t="inlineStr">
        <is>
          <t>429 link_request_cooldown + Retry-After</t>
        </is>
      </c>
      <c r="R13" s="11" t="inlineStr"/>
      <c r="S13" s="11" t="inlineStr">
        <is>
          <t>X</t>
        </is>
      </c>
      <c r="T13" s="11" t="inlineStr"/>
    </row>
    <row r="14" ht="90.5" customHeight="1">
      <c r="A14" s="7" t="inlineStr">
        <is>
          <t>TC-LINKAPPROVE-06</t>
        </is>
      </c>
      <c r="B14" s="7" t="inlineStr">
        <is>
          <t>Từ chối thay bởi người thân, người lạ hoặc admin</t>
        </is>
      </c>
      <c r="C14" s="8" t="inlineStr">
        <is>
          <t>Link pending P←F; người lạ X; admin A</t>
        </is>
      </c>
      <c r="D14" s="8" t="inlineStr">
        <is>
          <t>1. POST /family/links/{link_id}/reject không token
2. POST reject bằng token F, X, A
3. POST reject bằng token P</t>
        </is>
      </c>
      <c r="E14" s="8" t="inlineStr">
        <is>
          <t>(không có body)</t>
        </is>
      </c>
      <c r="F14" s="8" t="inlineStr">
        <is>
          <t>401 khi không token; 403 khong_co_quyen với F, X, A, mỗi lượt đúng 1 audit reject/denied với actor là người gọi (admin không ghi patient/link); link vẫn pending; P từ chối được (200)</t>
        </is>
      </c>
      <c r="G14" s="8" t="inlineStr">
        <is>
          <t>Đúng như mong đợi</t>
        </is>
      </c>
      <c r="H14" s="7" t="inlineStr">
        <is>
          <t>Pass</t>
        </is>
      </c>
      <c r="I14" s="8" t="inlineStr">
        <is>
          <t>AC5 · test_reject_denied_caller_matrix__AC5 · evidence/test-integration.log</t>
        </is>
      </c>
    </row>
    <row r="15" ht="74" customHeight="1">
      <c r="A15" s="7" t="inlineStr">
        <is>
          <t>TC-LINKAPPROVE-07</t>
        </is>
      </c>
      <c r="B15" s="7" t="inlineStr">
        <is>
          <t>Chấp thuận khi patient chưa đồng ý hoặc đã rút family_sharing</t>
        </is>
      </c>
      <c r="C15" s="8" t="inlineStr">
        <is>
          <t>Link pending P←F; P không có consent family_sharing hiệu lực</t>
        </is>
      </c>
      <c r="D15" s="8" t="inlineStr">
        <is>
          <t>1. POST approve bằng token P</t>
        </is>
      </c>
      <c r="E15" s="8" t="inlineStr">
        <is>
          <t>body hợp lệ</t>
        </is>
      </c>
      <c r="F15" s="8" t="inlineStr">
        <is>
          <t>403 {"detail": "consent_revoked"}; link vẫn pending; không có bằng chứng; audit approve/denied reason consent_revoked</t>
        </is>
      </c>
      <c r="G15" s="8" t="inlineStr">
        <is>
          <t>Đúng như mong đợi</t>
        </is>
      </c>
      <c r="H15" s="7" t="inlineStr">
        <is>
          <t>Pass</t>
        </is>
      </c>
      <c r="I15" s="8" t="inlineStr">
        <is>
          <t>AC7 · test_approve_missing_or_revoked_patient_consent_403__AC3_AC10 · evidence/test-integration.log</t>
        </is>
      </c>
    </row>
    <row r="16" ht="74" customHeight="1">
      <c r="A16" s="7" t="inlineStr">
        <is>
          <t>TC-LINKAPPROVE-08</t>
        </is>
      </c>
      <c r="B16" s="7" t="inlineStr">
        <is>
          <t>Chấp thuận với phiên bản văn bản cũ hoặc consent_confirmed=false</t>
        </is>
      </c>
      <c r="C16" s="8" t="inlineStr">
        <is>
          <t>Link pending P←F; P có family_sharing</t>
        </is>
      </c>
      <c r="D16" s="8" t="inlineStr">
        <is>
          <t>1. POST approve với document_version khác bản hiện hành
2. POST approve với consent_confirmed=false</t>
        </is>
      </c>
      <c r="E16" s="8" t="inlineStr">
        <is>
          <t>document_version="wrong-version"; consent_confirmed=false</t>
        </is>
      </c>
      <c r="F16" s="8" t="inlineStr">
        <is>
          <t>422 {"detail": "consent_document_outdated"}; 422 ValidationError; link vẫn pending</t>
        </is>
      </c>
      <c r="G16" s="8" t="inlineStr">
        <is>
          <t>Đúng như mong đợi</t>
        </is>
      </c>
      <c r="H16" s="7" t="inlineStr">
        <is>
          <t>Pass</t>
        </is>
      </c>
      <c r="I16" s="8" t="inlineStr">
        <is>
          <t>AC8 · EP (6,11) · test_approve_outdated_version_and_false_confirmation_422__AC3 · evidence/test-integration.log</t>
        </is>
      </c>
    </row>
    <row r="17" ht="107" customHeight="1">
      <c r="A17" s="7" t="inlineStr">
        <is>
          <t>TC-LINKAPPROVE-09</t>
        </is>
      </c>
      <c r="B17" s="7" t="inlineStr">
        <is>
          <t>Gửi body chấp thuận sai cấu trúc</t>
        </is>
      </c>
      <c r="C17" s="8" t="inlineStr">
        <is>
          <t>Người gọi đã đăng nhập</t>
        </is>
      </c>
      <c r="D17" s="8" t="inlineStr">
        <is>
          <t>1. POST /family/links/1/approve với từng body sai</t>
        </is>
      </c>
      <c r="E17" s="8" t="inlineStr">
        <is>
          <t>family_user_id="invalid"; thiếu consent_confirmed; consent_confirmed="true"; consent_confirmed=1; document_version=""; document_version="a"*65; field lạ patient_id</t>
        </is>
      </c>
      <c r="F17" s="8" t="inlineStr">
        <is>
          <t>422 ValidationError cho mọi trường hợp; không gọi use case</t>
        </is>
      </c>
      <c r="G17" s="8" t="inlineStr">
        <is>
          <t>422 cho mọi trường hợp</t>
        </is>
      </c>
      <c r="H17" s="7" t="inlineStr">
        <is>
          <t>Pass</t>
        </is>
      </c>
      <c r="I17" s="8" t="inlineStr">
        <is>
          <t>AC8 · EP (5,7,8,9,10) · BVA (min-1, max+1) · test_strict_approval_body_rejected_before_use_case · evidence/implement-final-backend.log</t>
        </is>
      </c>
    </row>
    <row r="18" ht="57.5" customHeight="1">
      <c r="A18" s="7" t="inlineStr">
        <is>
          <t>TC-LINKAPPROVE-BVA-10</t>
        </is>
      </c>
      <c r="B18" s="7" t="inlineStr">
        <is>
          <t>Chấp thuận với document_version dài 1 ký tự (biên dưới hợp lệ của độ dài)</t>
        </is>
      </c>
      <c r="C18" s="8" t="inlineStr">
        <is>
          <t>Link pending P←F; P có family_sharing</t>
        </is>
      </c>
      <c r="D18" s="8" t="inlineStr">
        <is>
          <t>1. POST approve bằng token P</t>
        </is>
      </c>
      <c r="E18" s="8" t="inlineStr">
        <is>
          <t>document_version="a"</t>
        </is>
      </c>
      <c r="F18" s="8" t="inlineStr">
        <is>
          <t>422 {"detail": "consent_document_outdated"} (đúng độ dài nhưng không phải bản hiện hành); link vẫn pending</t>
        </is>
      </c>
      <c r="G18" s="8" t="inlineStr"/>
      <c r="H18" s="7" t="inlineStr">
        <is>
          <t>Pending</t>
        </is>
      </c>
      <c r="I18" s="8" t="inlineStr">
        <is>
          <t>AC8 · BVA (min) · chưa có test riêng, cần chạy tay</t>
        </is>
      </c>
    </row>
    <row r="19" ht="41" customHeight="1">
      <c r="A19" s="7" t="inlineStr">
        <is>
          <t>TC-LINKAPPROVE-BVA-11</t>
        </is>
      </c>
      <c r="B19" s="7" t="inlineStr">
        <is>
          <t>Chấp thuận với document_version dài 64 ký tự (biên trên hợp lệ của độ dài)</t>
        </is>
      </c>
      <c r="C19" s="8" t="inlineStr">
        <is>
          <t>Link pending P←F; P có family_sharing</t>
        </is>
      </c>
      <c r="D19" s="8" t="inlineStr">
        <is>
          <t>1. POST approve bằng token P</t>
        </is>
      </c>
      <c r="E19" s="8" t="inlineStr">
        <is>
          <t>document_version="a"*64</t>
        </is>
      </c>
      <c r="F19" s="8" t="inlineStr">
        <is>
          <t>422 {"detail": "consent_document_outdated"}; link vẫn pending</t>
        </is>
      </c>
      <c r="G19" s="8" t="inlineStr"/>
      <c r="H19" s="7" t="inlineStr">
        <is>
          <t>Pending</t>
        </is>
      </c>
      <c r="I19" s="8" t="inlineStr">
        <is>
          <t>AC8 · BVA (max) · chưa có test riêng, cần chạy tay</t>
        </is>
      </c>
    </row>
    <row r="20" ht="74" customHeight="1">
      <c r="A20" s="7" t="inlineStr">
        <is>
          <t>TC-LINKAPPROVE-12</t>
        </is>
      </c>
      <c r="B20" s="7" t="inlineStr">
        <is>
          <t>Gửi lại chấp thuận với cùng nội dung</t>
        </is>
      </c>
      <c r="C20" s="8" t="inlineStr">
        <is>
          <t>Link đã được P chấp thuận</t>
        </is>
      </c>
      <c r="D20" s="8" t="inlineStr">
        <is>
          <t>1. POST approve lần 2 với cùng body</t>
        </is>
      </c>
      <c r="E20" s="8" t="inlineStr">
        <is>
          <t>body giống lần 1</t>
        </is>
      </c>
      <c r="F20" s="8" t="inlineStr">
        <is>
          <t>200; cùng id/confirmed_at bằng chứng cũ; không thêm bằng chứng</t>
        </is>
      </c>
      <c r="G20" s="8" t="inlineStr">
        <is>
          <t>Đúng như mong đợi</t>
        </is>
      </c>
      <c r="H20" s="7" t="inlineStr">
        <is>
          <t>Pass</t>
        </is>
      </c>
      <c r="I20" s="8" t="inlineStr">
        <is>
          <t>AC3 · Đoán lỗi (gửi trùng) · test_approve_replay_idempotent_with_same_evidence__AC5_AC9 · evidence/test-integration.log</t>
        </is>
      </c>
    </row>
    <row r="21" ht="90.5" customHeight="1">
      <c r="A21" s="7" t="inlineStr">
        <is>
          <t>TC-LINKAPPROVE-13</t>
        </is>
      </c>
      <c r="B21" s="7" t="inlineStr">
        <is>
          <t>Chấp thuận liên kết đã bị từ chối hoặc đã hủy</t>
        </is>
      </c>
      <c r="C21" s="8" t="inlineStr">
        <is>
          <t>Link ở trạng thái rejected hoặc revoked</t>
        </is>
      </c>
      <c r="D21" s="8" t="inlineStr">
        <is>
          <t>1. POST approve bằng token P</t>
        </is>
      </c>
      <c r="E21" s="8" t="inlineStr">
        <is>
          <t>body hợp lệ</t>
        </is>
      </c>
      <c r="F21" s="8" t="inlineStr">
        <is>
          <t>409 {"detail": "invalid_link_transition"}; trạng thái giữ nguyên</t>
        </is>
      </c>
      <c r="G21" s="8" t="inlineStr">
        <is>
          <t>Đúng như mong đợi</t>
        </is>
      </c>
      <c r="H21" s="7" t="inlineStr">
        <is>
          <t>Pass</t>
        </is>
      </c>
      <c r="I21" s="8" t="inlineStr">
        <is>
          <t>AC10 · Chuyển trạng thái (chuyển bị cấm) · test_approve_rejected_or_revoked_conflict_409__AC8 · evidence/test-integration.log</t>
        </is>
      </c>
    </row>
    <row r="22" ht="90.5" customHeight="1">
      <c r="A22" s="7" t="inlineStr">
        <is>
          <t>TC-LINKAPPROVE-14</t>
        </is>
      </c>
      <c r="B22" s="7" t="inlineStr">
        <is>
          <t>Từ chối yêu cầu đang chờ và gửi lại lệnh từ chối</t>
        </is>
      </c>
      <c r="C22" s="8" t="inlineStr">
        <is>
          <t>Link pending P←F; P không cần consent</t>
        </is>
      </c>
      <c r="D22" s="8" t="inlineStr">
        <is>
          <t>1. POST reject bằng token P
2. POST reject lần 2</t>
        </is>
      </c>
      <c r="E22" s="8" t="inlineStr">
        <is>
          <t>(không có body)</t>
        </is>
      </c>
      <c r="F22" s="8" t="inlineStr">
        <is>
          <t>200 status=rejected, có rejected_at; lần 2 trả 200 cùng rejected_at</t>
        </is>
      </c>
      <c r="G22" s="8" t="inlineStr">
        <is>
          <t>Đúng như mong đợi</t>
        </is>
      </c>
      <c r="H22" s="7" t="inlineStr">
        <is>
          <t>Pass</t>
        </is>
      </c>
      <c r="I22" s="8" t="inlineStr">
        <is>
          <t>AC4 · Chuyển trạng thái (pending→rejected) · test_reject_without_consent_and_replay_idempotent__AC14_AC15 · evidence/test-integration.log</t>
        </is>
      </c>
    </row>
    <row r="23" ht="74" customHeight="1">
      <c r="A23" s="7" t="inlineStr">
        <is>
          <t>TC-LINKAPPROVE-15</t>
        </is>
      </c>
      <c r="B23" s="7" t="inlineStr">
        <is>
          <t>Từ chối liên kết đang active hoặc đã hủy</t>
        </is>
      </c>
      <c r="C23" s="8" t="inlineStr">
        <is>
          <t>Link active hoặc revoked</t>
        </is>
      </c>
      <c r="D23" s="8" t="inlineStr">
        <is>
          <t>1. POST reject bằng token P</t>
        </is>
      </c>
      <c r="E23" s="8" t="inlineStr">
        <is>
          <t>(không có body)</t>
        </is>
      </c>
      <c r="F23" s="8" t="inlineStr">
        <is>
          <t>409 {"detail": "invalid_link_transition"}</t>
        </is>
      </c>
      <c r="G23" s="8" t="inlineStr">
        <is>
          <t>Đúng như mong đợi</t>
        </is>
      </c>
      <c r="H23" s="7" t="inlineStr">
        <is>
          <t>Pass</t>
        </is>
      </c>
      <c r="I23" s="8" t="inlineStr">
        <is>
          <t>AC10 · Chuyển trạng thái (chuyển bị cấm) · test_reject_active_or_revoked_conflict_409__AC15 · evidence/test-integration.log</t>
        </is>
      </c>
    </row>
    <row r="24" ht="74" customHeight="1">
      <c r="A24" s="7" t="inlineStr">
        <is>
          <t>TC-LINKAPPROVE-16</t>
        </is>
      </c>
      <c r="B24" s="7" t="inlineStr">
        <is>
          <t>Chấp thuận và từ chối cùng lúc một yêu cầu</t>
        </is>
      </c>
      <c r="C24" s="8" t="inlineStr">
        <is>
          <t>Link pending P←F</t>
        </is>
      </c>
      <c r="D24" s="8" t="inlineStr">
        <is>
          <t>1. Gửi đồng thời POST approve và POST reject bằng token P</t>
        </is>
      </c>
      <c r="E24" s="8" t="inlineStr">
        <is>
          <t>body approve hợp lệ</t>
        </is>
      </c>
      <c r="F24" s="8" t="inlineStr">
        <is>
          <t>Một request 200, request kia 409; không có trạng thái vừa rejected vừa có bằng chứng</t>
        </is>
      </c>
      <c r="G24" s="8" t="inlineStr">
        <is>
          <t>Đúng như mong đợi</t>
        </is>
      </c>
      <c r="H24" s="7" t="inlineStr">
        <is>
          <t>Pass</t>
        </is>
      </c>
      <c r="I24" s="8" t="inlineStr">
        <is>
          <t>AC15 · Đoán lỗi (chạy đua) · test_concurrent_approve_and_reject_one_wins_other_409__AC17 · evidence/test-integration.log</t>
        </is>
      </c>
    </row>
    <row r="25" ht="123.5" customHeight="1">
      <c r="A25" s="7" t="inlineStr">
        <is>
          <t>TC-LINKAPPROVE-17</t>
        </is>
      </c>
      <c r="B25" s="7" t="inlineStr">
        <is>
          <t>Gửi lại yêu cầu sau 5 lần bị từ chối liên tiếp qua endpoint thật</t>
        </is>
      </c>
      <c r="C25" s="8" t="inlineStr">
        <is>
          <t>P có family_sharing và mã liên kết; F chưa liên kết</t>
        </is>
      </c>
      <c r="D25" s="8" t="inlineStr">
        <is>
          <t>1. F gửi yêu cầu bằng mã của P, P từ chối; lặp 4 lần (lần 5 vẫn gửi được)
2. P từ chối lần thứ 5
3. F gửi lại ngay
4. Người thân khác gửi yêu cầu
5. Đặt giờ app = rejected_at lần 5 + 23h59
6. Đặt giờ app = rejected_at lần 5 + 24h</t>
        </is>
      </c>
      <c r="E25" s="8" t="inlineStr">
        <is>
          <t>client_uuid mới mỗi lần</t>
        </is>
      </c>
      <c r="F25" s="8" t="inlineStr">
        <is>
          <t>Lần 1–5: 201; sau lần từ chối thứ 5: 429 {"detail": "link_request_cooldown"}, Retry-After trong (0, 86400]; người thân khác 201; tại +23h59: 429; tại +24h: 201</t>
        </is>
      </c>
      <c r="G25" s="8" t="inlineStr">
        <is>
          <t>Đúng như mong đợi</t>
        </is>
      </c>
      <c r="H25" s="7" t="inlineStr">
        <is>
          <t>Pass</t>
        </is>
      </c>
      <c r="I25" s="8" t="inlineStr">
        <is>
          <t>AC9 · Decision Table (R1, R2, R3) · BVA (24h-1 phút, 24h) · test_five_rejections_via_endpoint_block_24h_others_unaffected__AC9 · evidence/test-integration.log</t>
        </is>
      </c>
    </row>
    <row r="26" ht="74" customHeight="1">
      <c r="A26" s="7" t="inlineStr">
        <is>
          <t>TC-LINKAPPROVE-18</t>
        </is>
      </c>
      <c r="B26" s="7" t="inlineStr">
        <is>
          <t>Chấp thuận rồi hủy liên kết làm bộ đếm từ chối về 0</t>
        </is>
      </c>
      <c r="C26" s="8" t="inlineStr">
        <is>
          <t>P có family_sharing và mã liên kết; F chưa liên kết</t>
        </is>
      </c>
      <c r="D26" s="8" t="inlineStr">
        <is>
          <t>1. Từ chối 4 lần qua endpoint
2. F gửi, P chấp thuận, P hủy liên kết
3. Từ chối thêm 4 lần
4. F gửi lần thứ 10 trong ngày</t>
        </is>
      </c>
      <c r="E26" s="8" t="inlineStr">
        <is>
          <t>client_uuid mới mỗi lần</t>
        </is>
      </c>
      <c r="F26" s="8" t="inlineStr">
        <is>
          <t>Lần gửi cuối 201 (không bị chặn); các dòng theo thứ tự: 4 rejected, 1 revoked, 4 rejected, 1 pending</t>
        </is>
      </c>
      <c r="G26" s="8" t="inlineStr">
        <is>
          <t>Đúng như mong đợi</t>
        </is>
      </c>
      <c r="H26" s="7" t="inlineStr">
        <is>
          <t>Pass</t>
        </is>
      </c>
      <c r="I26" s="8" t="inlineStr">
        <is>
          <t>AC9 · Decision Table (R1) · test_approval_then_revoke_resets_streak_via_endpoints__AC9 · evidence/test-integration.log</t>
        </is>
      </c>
    </row>
    <row r="27" ht="90.5" customHeight="1">
      <c r="A27" s="7" t="inlineStr">
        <is>
          <t>TC-LINKAPPROVE-19</t>
        </is>
      </c>
      <c r="B27" s="7" t="inlineStr">
        <is>
          <t>Hiện mục Yêu cầu theo dõi bạn trên tab Người thân</t>
        </is>
      </c>
      <c r="C27" s="8" t="inlineStr">
        <is>
          <t>App mobile; có 2 yêu cầu pending, 1 người gửi không có tên</t>
        </is>
      </c>
      <c r="D27" s="8" t="inlineStr">
        <is>
          <t>1. Mở tab Người thân
2. Kéo xuống để tải lại</t>
        </is>
      </c>
      <c r="E27" s="8" t="inlineStr">
        <is>
          <t>requested_at = 2026-10-15T02:00:00Z</t>
        </is>
      </c>
      <c r="F27" s="8" t="inlineStr">
        <is>
          <t>Hiện "Yêu cầu theo dõi bạn (2)"; tên người thân và "Người dùng DrugTime" cho người không có tên; "Gửi lúc 09:00 15/10/2026"; kéo xuống gọi lại API; không có yêu cầu thì không hiện mục</t>
        </is>
      </c>
      <c r="G27" s="8" t="inlineStr">
        <is>
          <t>Đúng như mong đợi</t>
        </is>
      </c>
      <c r="H27" s="7" t="inlineStr">
        <is>
          <t>Pass</t>
        </is>
      </c>
      <c r="I27" s="8" t="inlineStr">
        <is>
          <t>AC16 · incoming_requests_test.dart (AC16) · evidence/implement-final-frontend.log</t>
        </is>
      </c>
    </row>
    <row r="28" ht="57.5" customHeight="1">
      <c r="A28" s="7" t="inlineStr">
        <is>
          <t>TC-LINKAPPROVE-20</t>
        </is>
      </c>
      <c r="B28" s="7" t="inlineStr">
        <is>
          <t>Chuyển sang tab Người thân thì tải lại yêu cầu đang chờ</t>
        </is>
      </c>
      <c r="C28" s="8" t="inlineStr">
        <is>
          <t>App mở ở tab Thuốc</t>
        </is>
      </c>
      <c r="D28" s="8" t="inlineStr">
        <is>
          <t>1. Chạm tab Người thân
2. Chuyển sang tab Thuốc
3. Chạm lại tab Người thân</t>
        </is>
      </c>
      <c r="E28" s="8" t="inlineStr">
        <is>
          <t>-</t>
        </is>
      </c>
      <c r="F28" s="8" t="inlineStr">
        <is>
          <t>Mỗi lần mở tab Người thân gọi listPendingRequests một lần; trước khi mở tab thì không gọi</t>
        </is>
      </c>
      <c r="G28" s="8" t="inlineStr">
        <is>
          <t>Đúng như mong đợi</t>
        </is>
      </c>
      <c r="H28" s="7" t="inlineStr">
        <is>
          <t>Pass</t>
        </is>
      </c>
      <c r="I28" s="8" t="inlineStr">
        <is>
          <t>AC16 · app_shell_test.dart (AC16) · evidence/implement-final-frontend.log</t>
        </is>
      </c>
    </row>
    <row r="29" ht="123.5" customHeight="1">
      <c r="A29" s="7" t="inlineStr">
        <is>
          <t>TC-LINKAPPROVE-21</t>
        </is>
      </c>
      <c r="B29" s="7" t="inlineStr">
        <is>
          <t>Chấp thuận trên app qua bước xác nhận đồng ý</t>
        </is>
      </c>
      <c r="C29" s="8" t="inlineStr">
        <is>
          <t>Có yêu cầu từ Nguyễn Văn An</t>
        </is>
      </c>
      <c r="D29" s="8" t="inlineStr">
        <is>
          <t>1. Bấm Chấp thuận
2. Kiểm nút Chấp thuận khi chưa tick
3. Tick "Tôi đồng ý chia sẻ…" và bấm Chấp thuận
4. Ở hộp "Đã liên kết…" chọn Để sau (lần khác chọn Bật chia sẻ)
5. Lần khác: mở bước xác nhận rồi bấm Hủy</t>
        </is>
      </c>
      <c r="E29" s="8" t="inlineStr">
        <is>
          <t>consentDocumentVersion = 2026-10-v1</t>
        </is>
      </c>
      <c r="F29" s="8" t="inlineStr">
        <is>
          <t>Hiện văn bản family_sharing và "Chia sẻ với: Nguyễn Văn An"; chưa tick thì nút khóa; gửi approve đúng family_user_id và 2026-10-v1; mục biến mất; Để sau không bật chia sẻ, Bật chia sẻ gọi API và báo "Đã bật chia sẻ với Nguyễn Văn An."; Hủy không gọi API</t>
        </is>
      </c>
      <c r="G29" s="8" t="inlineStr">
        <is>
          <t>Đúng như mong đợi</t>
        </is>
      </c>
      <c r="H29" s="7" t="inlineStr">
        <is>
          <t>Pass</t>
        </is>
      </c>
      <c r="I29" s="8" t="inlineStr">
        <is>
          <t>AC17 · incoming_requests_test.dart (AC17) · evidence/implement-final-frontend.log</t>
        </is>
      </c>
    </row>
    <row r="30" ht="74" customHeight="1">
      <c r="A30" s="7" t="inlineStr">
        <is>
          <t>TC-LINKAPPROVE-22</t>
        </is>
      </c>
      <c r="B30" s="7" t="inlineStr">
        <is>
          <t>Từ chối trên app có hộp xác nhận</t>
        </is>
      </c>
      <c r="C30" s="8" t="inlineStr">
        <is>
          <t>Có yêu cầu từ Nguyễn Văn An</t>
        </is>
      </c>
      <c r="D30" s="8" t="inlineStr">
        <is>
          <t>1. Bấm Từ chối rồi Hủy
2. Bấm Từ chối rồi xác nhận Từ chối</t>
        </is>
      </c>
      <c r="E30" s="8" t="inlineStr">
        <is>
          <t>-</t>
        </is>
      </c>
      <c r="F30" s="8" t="inlineStr">
        <is>
          <t>Hủy không gọi API; xác nhận thì gửi reject không body, mục biến mất, báo "Đã từ chối yêu cầu của Nguyễn Văn An."</t>
        </is>
      </c>
      <c r="G30" s="8" t="inlineStr">
        <is>
          <t>Đúng như mong đợi</t>
        </is>
      </c>
      <c r="H30" s="7" t="inlineStr">
        <is>
          <t>Pass</t>
        </is>
      </c>
      <c r="I30" s="8" t="inlineStr">
        <is>
          <t>AC18 · incoming_requests_test.dart (AC18), api_client_test.dart (post không body) · evidence/implement-final-frontend.log</t>
        </is>
      </c>
    </row>
    <row r="31" ht="57.5" customHeight="1">
      <c r="A31" s="7" t="inlineStr">
        <is>
          <t>TC-LINKAPPROVE-23</t>
        </is>
      </c>
      <c r="B31" s="7" t="inlineStr">
        <is>
          <t>Nhắc bật chia sẻ khi patient chưa đồng ý family_sharing</t>
        </is>
      </c>
      <c r="C31" s="8" t="inlineStr">
        <is>
          <t>Tài khoản chưa bật family_sharing; có yêu cầu đang chờ</t>
        </is>
      </c>
      <c r="D31" s="8" t="inlineStr">
        <is>
          <t>1. Mở tab Người thân
2. Bấm "Mở Quyền riêng tư"</t>
        </is>
      </c>
      <c r="E31" s="8" t="inlineStr">
        <is>
          <t>-</t>
        </is>
      </c>
      <c r="F31" s="8" t="inlineStr">
        <is>
          <t>Có dải nhắc "Cần bật \"Chia sẻ với người thân\"…"; bấm nút mở màn Quyền riêng tư; đã bật thì không có dải nhắc</t>
        </is>
      </c>
      <c r="G31" s="8" t="inlineStr">
        <is>
          <t>Đúng như mong đợi</t>
        </is>
      </c>
      <c r="H31" s="7" t="inlineStr">
        <is>
          <t>Pass</t>
        </is>
      </c>
      <c r="I31" s="8" t="inlineStr">
        <is>
          <t>AC19 · incoming_requests_test.dart (AC19) · evidence/implement-final-frontend.log</t>
        </is>
      </c>
    </row>
    <row r="32" ht="90.5" customHeight="1">
      <c r="A32" s="7" t="inlineStr">
        <is>
          <t>TC-LINKAPPROVE-24</t>
        </is>
      </c>
      <c r="B32" s="7" t="inlineStr">
        <is>
          <t>Xử lý lỗi khi chấp thuận trên app</t>
        </is>
      </c>
      <c r="C32" s="8" t="inlineStr">
        <is>
          <t>Có yêu cầu đang chờ; server trả lỗi</t>
        </is>
      </c>
      <c r="D32" s="8" t="inlineStr">
        <is>
          <t>1. Chấp thuận khi server trả lần lượt 403 consent_revoked, 409, 404, 422 consent_document_outdated, lỗi mạng</t>
        </is>
      </c>
      <c r="E32" s="8" t="inlineStr">
        <is>
          <t>-</t>
        </is>
      </c>
      <c r="F32" s="8" t="inlineStr">
        <is>
          <t>Báo đúng câu cho từng lỗi; không hiện hộp bật chia sẻ; tải lại danh sách; yêu cầu vẫn còn</t>
        </is>
      </c>
      <c r="G32" s="8" t="inlineStr">
        <is>
          <t>Đúng như mong đợi</t>
        </is>
      </c>
      <c r="H32" s="7" t="inlineStr">
        <is>
          <t>Pass</t>
        </is>
      </c>
      <c r="I32" s="8" t="inlineStr">
        <is>
          <t>AC22 · Đoán lỗi (mất mạng) · incoming_requests_test.dart (AC22), remote_caregiver_repository_test.dart · evidence/implement-final-frontend.log</t>
        </is>
      </c>
    </row>
    <row r="33" ht="74" customHeight="1">
      <c r="A33" s="7" t="inlineStr">
        <is>
          <t>TC-LINKAPPROVE-25</t>
        </is>
      </c>
      <c r="B33" s="7" t="inlineStr">
        <is>
          <t>Bấm liên tục khi đang gửi thao tác</t>
        </is>
      </c>
      <c r="C33" s="8" t="inlineStr">
        <is>
          <t>Có yêu cầu đang chờ; server phản hồi chậm</t>
        </is>
      </c>
      <c r="D33" s="8" t="inlineStr">
        <is>
          <t>1. Xác nhận từ chối
2. Trong lúc chờ bấm lại Từ chối</t>
        </is>
      </c>
      <c r="E33" s="8" t="inlineStr">
        <is>
          <t>-</t>
        </is>
      </c>
      <c r="F33" s="8" t="inlineStr">
        <is>
          <t>Hai nút của mục bị khóa khi đang gửi; chỉ một request reject được gửi</t>
        </is>
      </c>
      <c r="G33" s="8" t="inlineStr">
        <is>
          <t>Đúng như mong đợi</t>
        </is>
      </c>
      <c r="H33" s="7" t="inlineStr">
        <is>
          <t>Pass</t>
        </is>
      </c>
      <c r="I33" s="8" t="inlineStr">
        <is>
          <t>AC22 · Đoán lỗi (bấm liên tục) · incoming_requests_test.dart (AC22) · evidence/implement-final-frontend.log</t>
        </is>
      </c>
    </row>
    <row r="34" ht="74" customHeight="1">
      <c r="A34" s="7" t="inlineStr">
        <is>
          <t>TC-LINKAPPROVE-26</t>
        </is>
      </c>
      <c r="B34" s="7" t="inlineStr">
        <is>
          <t>Chấp thuận yêu cầu thật trên hai thiết bị</t>
        </is>
      </c>
      <c r="C34" s="8" t="inlineStr">
        <is>
          <t>Hai tài khoản trên hai máy, backend đang chạy; P đã bật family_sharing</t>
        </is>
      </c>
      <c r="D34" s="8" t="inlineStr">
        <is>
          <t>1. F nhập/quét mã của P
2. P mở tab Người thân, thấy yêu cầu
3. P chấp thuận, tick đồng ý, chọn Bật chia sẻ
4. F gửi lại mã</t>
        </is>
      </c>
      <c r="E34" s="8" t="inlineStr">
        <is>
          <t>Mã liên kết của P</t>
        </is>
      </c>
      <c r="F34" s="8" t="inlineStr">
        <is>
          <t>P thấy yêu cầu đúng tên F; sau chấp thuận F có trong Người giám sát với chia sẻ bật; F gửi lại mã nhận thông báo đã liên kết (409 already_linked)</t>
        </is>
      </c>
      <c r="G34" s="8" t="inlineStr"/>
      <c r="H34" s="7" t="inlineStr">
        <is>
          <t>Pending</t>
        </is>
      </c>
      <c r="I34" s="8" t="inlineStr">
        <is>
          <t>AC23 · manual</t>
        </is>
      </c>
    </row>
    <row r="35" ht="57.5" customHeight="1">
      <c r="A35" s="7" t="inlineStr">
        <is>
          <t>TC-LINKAPPROVE-27</t>
        </is>
      </c>
      <c r="B35" s="7" t="inlineStr">
        <is>
          <t>Từ chối yêu cầu thật trên hai thiết bị</t>
        </is>
      </c>
      <c r="C35" s="8" t="inlineStr">
        <is>
          <t>Hai tài khoản trên hai máy, backend đang chạy</t>
        </is>
      </c>
      <c r="D35" s="8" t="inlineStr">
        <is>
          <t>1. F gửi yêu cầu bằng mã của P
2. P từ chối
3. F gửi lại ngay</t>
        </is>
      </c>
      <c r="E35" s="8" t="inlineStr">
        <is>
          <t>Mã liên kết của P</t>
        </is>
      </c>
      <c r="F35" s="8" t="inlineStr">
        <is>
          <t>Yêu cầu biến mất trên máy P; F gửi lại được ngay (201) khi chưa đủ 5 lần bị từ chối</t>
        </is>
      </c>
      <c r="G35" s="8" t="inlineStr"/>
      <c r="H35" s="7" t="inlineStr">
        <is>
          <t>Pending</t>
        </is>
      </c>
      <c r="I35" s="8" t="inlineStr">
        <is>
          <t>AC23 · manual</t>
        </is>
      </c>
    </row>
    <row r="36"/>
    <row r="37"/>
    <row r="38">
      <c r="G38" s="12" t="inlineStr">
        <is>
          <t>Pass</t>
        </is>
      </c>
      <c r="H38" s="13">
        <f>COUNTIF(H9:H35,"Pass")</f>
        <v/>
      </c>
    </row>
    <row r="39">
      <c r="G39" s="12" t="inlineStr">
        <is>
          <t>Fail</t>
        </is>
      </c>
      <c r="H39" s="13">
        <f>COUNTIF(H9:H35,"Fail")</f>
        <v/>
      </c>
    </row>
    <row r="40">
      <c r="G40" s="12" t="inlineStr">
        <is>
          <t>Pending</t>
        </is>
      </c>
      <c r="H40" s="13">
        <f>COUNTIF(H9:H35,"Pending")</f>
        <v/>
      </c>
    </row>
    <row r="41">
      <c r="G41" s="12" t="inlineStr">
        <is>
          <t>Total</t>
        </is>
      </c>
      <c r="H41" s="13">
        <f>SUM(H38:H40)</f>
        <v/>
      </c>
    </row>
  </sheetData>
  <autoFilter ref="A8:I35"/>
  <conditionalFormatting sqref="H9:H35">
    <cfRule type="cellIs" priority="1" operator="equal" dxfId="0">
      <formula>"Fail"</formula>
    </cfRule>
  </conditionalFormatting>
  <dataValidations count="1">
    <dataValidation sqref="H9:H35" showDropDown="0" showInputMessage="0" showErrorMessage="0" allowBlank="0" type="list">
      <formula1>"Pass,Fail,Pending"</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42"/>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Quản lý người giám sát (CAREGIVER)</t>
        </is>
      </c>
    </row>
    <row r="3">
      <c r="A3" s="1" t="inlineStr">
        <is>
          <t>Created By</t>
        </is>
      </c>
      <c r="B3" s="2" t="inlineStr">
        <is>
          <t>zannguyen</t>
        </is>
      </c>
    </row>
    <row r="4">
      <c r="A4" s="1" t="inlineStr">
        <is>
          <t>Creation Date</t>
        </is>
      </c>
      <c r="B4" s="21" t="n">
        <v>46316</v>
      </c>
    </row>
    <row r="5">
      <c r="A5" s="1" t="inlineStr">
        <is>
          <t>Reviewed By</t>
        </is>
      </c>
      <c r="B5" s="2" t="inlineStr"/>
    </row>
    <row r="6">
      <c r="A6" s="1" t="inlineStr">
        <is>
          <t>Reviewed Date</t>
        </is>
      </c>
      <c r="B6" s="2" t="n"/>
    </row>
    <row r="7">
      <c r="K7" s="4" t="inlineStr">
        <is>
          <t>Equivalence Partitioning</t>
        </is>
      </c>
      <c r="Q7" s="4" t="inlineStr">
        <is>
          <t>Người thân đọc dữ liệu sức khỏe / nhận cảnh báo của patient</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23.5" customHeight="1">
      <c r="A9" s="7" t="inlineStr">
        <is>
          <t>TC-CAREGIVER-01</t>
        </is>
      </c>
      <c r="B9" s="7" t="inlineStr">
        <is>
          <t>Xem danh sách người giám sát của chính mình</t>
        </is>
      </c>
      <c r="C9" s="8" t="inlineStr">
        <is>
          <t>P có 2 liên kết chấp thuận qua API (F1 bật chia sẻ, F2 chấp thuận sau), 1 liên kết cũ không bằng chứng (F3), và các liên kết pending/rejected/revoked; có liên kết của patient khác</t>
        </is>
      </c>
      <c r="D9" s="8" t="inlineStr">
        <is>
          <t>1. Đăng nhập bằng P
2. GET /family/caregivers</t>
        </is>
      </c>
      <c r="E9" s="8" t="inlineStr">
        <is>
          <t>-</t>
        </is>
      </c>
      <c r="F9" s="8" t="inlineStr">
        <is>
          <t>200; items theo thứ tự F2, F1, F3; mỗi mục đúng 6 field, status=active; F1 sharing_enabled=true; F3 approved_at=null; không có liên kết khác; audit list_caregivers/allowed không có link_id</t>
        </is>
      </c>
      <c r="G9" s="8" t="inlineStr">
        <is>
          <t>Đúng như mong đợi</t>
        </is>
      </c>
      <c r="H9" s="7" t="inlineStr">
        <is>
          <t>Pass</t>
        </is>
      </c>
      <c r="I9" s="8" t="inlineStr">
        <is>
          <t>AC11 · test_list_only_own_active_ordered_minimal__AC11 · evidence/test-integration.log</t>
        </is>
      </c>
      <c r="K9" s="9" t="inlineStr">
        <is>
          <t>sharing_enabled (body PATCH)</t>
        </is>
      </c>
      <c r="L9" s="10" t="inlineStr">
        <is>
          <t>true
false</t>
        </is>
      </c>
      <c r="M9" s="10" t="inlineStr">
        <is>
          <t>1
2</t>
        </is>
      </c>
      <c r="N9" s="10" t="inlineStr">
        <is>
          <t>"true" (chuỗi)
1
null
thiếu field
field lạ (patient_id)</t>
        </is>
      </c>
      <c r="O9" s="10" t="inlineStr">
        <is>
          <t>4
5
6
7
8</t>
        </is>
      </c>
      <c r="Q9" s="10" t="inlineStr">
        <is>
          <t>Liên kết active?</t>
        </is>
      </c>
      <c r="R9" s="11" t="inlineStr">
        <is>
          <t>Không</t>
        </is>
      </c>
      <c r="S9" s="11" t="inlineStr">
        <is>
          <t>Có</t>
        </is>
      </c>
      <c r="T9" s="11" t="inlineStr">
        <is>
          <t>Có</t>
        </is>
      </c>
      <c r="U9" s="11" t="inlineStr">
        <is>
          <t>Có</t>
        </is>
      </c>
    </row>
    <row r="10" ht="140" customHeight="1">
      <c r="A10" s="7" t="inlineStr">
        <is>
          <t>TC-CAREGIVER-02</t>
        </is>
      </c>
      <c r="B10" s="7" t="inlineStr">
        <is>
          <t>Xem danh sách khi chưa có người giám sát</t>
        </is>
      </c>
      <c r="C10" s="8" t="inlineStr">
        <is>
          <t>Tài khoản không có liên kết active</t>
        </is>
      </c>
      <c r="D10" s="8" t="inlineStr">
        <is>
          <t>1. GET /family/caregivers</t>
        </is>
      </c>
      <c r="E10" s="8" t="inlineStr">
        <is>
          <t>-</t>
        </is>
      </c>
      <c r="F10" s="8" t="inlineStr">
        <is>
          <t>200; {"items": []}</t>
        </is>
      </c>
      <c r="G10" s="8" t="inlineStr">
        <is>
          <t>200; {"items": []}</t>
        </is>
      </c>
      <c r="H10" s="7" t="inlineStr">
        <is>
          <t>Pass</t>
        </is>
      </c>
      <c r="I10" s="8" t="inlineStr">
        <is>
          <t>AC11 · test_empty_list_returns_items_empty__AC11 · evidence/test-integration.log</t>
        </is>
      </c>
      <c r="K10" s="9" t="inlineStr">
        <is>
          <t>link_id (path)</t>
        </is>
      </c>
      <c r="L10" s="10" t="inlineStr">
        <is>
          <t>id liên kết active của chính mình</t>
        </is>
      </c>
      <c r="M10" s="10" t="inlineStr">
        <is>
          <t>3</t>
        </is>
      </c>
      <c r="N10" s="10" t="inlineStr">
        <is>
          <t>0
-1
abc
9223372036854775808
id không tồn tại
liên kết của patient khác
liên kết không active (pending/rejected/revoked)</t>
        </is>
      </c>
      <c r="O10" s="10" t="inlineStr">
        <is>
          <t>9
10
11
12
13
14
15</t>
        </is>
      </c>
      <c r="Q10" s="10" t="inlineStr">
        <is>
          <t>Công tắc chia sẻ bật?</t>
        </is>
      </c>
      <c r="R10" s="11" t="inlineStr">
        <is>
          <t>-</t>
        </is>
      </c>
      <c r="S10" s="11" t="inlineStr">
        <is>
          <t>Không</t>
        </is>
      </c>
      <c r="T10" s="11" t="inlineStr">
        <is>
          <t>Có</t>
        </is>
      </c>
      <c r="U10" s="11" t="inlineStr">
        <is>
          <t>Có</t>
        </is>
      </c>
    </row>
    <row r="11" ht="90.5" customHeight="1">
      <c r="A11" s="7" t="inlineStr">
        <is>
          <t>TC-CAREGIVER-03</t>
        </is>
      </c>
      <c r="B11" s="7" t="inlineStr">
        <is>
          <t>Gửi query patient_id để xem người giám sát của người khác</t>
        </is>
      </c>
      <c r="C11" s="8" t="inlineStr">
        <is>
          <t>Đã đăng nhập</t>
        </is>
      </c>
      <c r="D11" s="8" t="inlineStr">
        <is>
          <t>1. GET /family/caregivers?patient_id=&lt;UUID khác&gt;</t>
        </is>
      </c>
      <c r="E11" s="8" t="inlineStr">
        <is>
          <t>patient_id=&lt;UUID&gt;</t>
        </is>
      </c>
      <c r="F11" s="8" t="inlineStr">
        <is>
          <t>422</t>
        </is>
      </c>
      <c r="G11" s="8" t="inlineStr">
        <is>
          <t>422</t>
        </is>
      </c>
      <c r="H11" s="7" t="inlineStr">
        <is>
          <t>Pass</t>
        </is>
      </c>
      <c r="I11" s="8" t="inlineStr">
        <is>
          <t>AC5 · Đoán lỗi (truy cập dữ liệu người khác) · test_caregivers_rejects_query_parameters__AC11 · evidence/test-integration.log</t>
        </is>
      </c>
      <c r="Q11" s="10" t="inlineStr">
        <is>
          <t>Patient còn đồng ý family_sharing?</t>
        </is>
      </c>
      <c r="R11" s="11" t="inlineStr">
        <is>
          <t>-</t>
        </is>
      </c>
      <c r="S11" s="11" t="inlineStr">
        <is>
          <t>-</t>
        </is>
      </c>
      <c r="T11" s="11" t="inlineStr">
        <is>
          <t>Không</t>
        </is>
      </c>
      <c r="U11" s="11" t="inlineStr">
        <is>
          <t>Có</t>
        </is>
      </c>
    </row>
    <row r="12" ht="74" customHeight="1">
      <c r="A12" s="7" t="inlineStr">
        <is>
          <t>TC-CAREGIVER-04</t>
        </is>
      </c>
      <c r="B12" s="7" t="inlineStr">
        <is>
          <t>Bật, bật lại và tắt chia sẻ</t>
        </is>
      </c>
      <c r="C12" s="8" t="inlineStr">
        <is>
          <t>Liên kết active chấp thuận qua API, chia sẻ đang tắt; P có family_sharing</t>
        </is>
      </c>
      <c r="D12" s="8" t="inlineStr">
        <is>
          <t>1. PATCH /family/links/{id}/sharing true
2. PATCH lại true
3. PATCH false</t>
        </is>
      </c>
      <c r="E12" s="8" t="inlineStr">
        <is>
          <t>{"sharing_enabled": true} / {"sharing_enabled": false}</t>
        </is>
      </c>
      <c r="F12" s="8" t="inlineStr">
        <is>
          <t>200 trả Caregiver với sharing_enabled đúng giá trị; gửi lại true trả kết quả giống hệt; DB đổi theo; audit enable_sharing x2, disable_sharing</t>
        </is>
      </c>
      <c r="G12" s="8" t="inlineStr">
        <is>
          <t>Đúng như mong đợi</t>
        </is>
      </c>
      <c r="H12" s="7" t="inlineStr">
        <is>
          <t>Pass</t>
        </is>
      </c>
      <c r="I12" s="8" t="inlineStr">
        <is>
          <t>AC12 · EP (1,2,3) · Đoán lỗi (gửi trùng) · test_enable_disable_idempotent_and_audit__AC12 · evidence/test-integration.log</t>
        </is>
      </c>
      <c r="Q12" s="6" t="inlineStr">
        <is>
          <t>Action</t>
        </is>
      </c>
      <c r="R12" s="5" t="inlineStr">
        <is>
          <t>R1</t>
        </is>
      </c>
      <c r="S12" s="5" t="inlineStr">
        <is>
          <t>R2</t>
        </is>
      </c>
      <c r="T12" s="5" t="inlineStr">
        <is>
          <t>R3</t>
        </is>
      </c>
      <c r="U12" s="5" t="inlineStr">
        <is>
          <t>R4</t>
        </is>
      </c>
    </row>
    <row r="13" ht="57.5" customHeight="1">
      <c r="A13" s="7" t="inlineStr">
        <is>
          <t>TC-CAREGIVER-05</t>
        </is>
      </c>
      <c r="B13" s="7" t="inlineStr">
        <is>
          <t>Tắt chia sẻ khi đã rút family_sharing</t>
        </is>
      </c>
      <c r="C13" s="8" t="inlineStr">
        <is>
          <t>Liên kết active đang chia sẻ; P đã rút family_sharing</t>
        </is>
      </c>
      <c r="D13" s="8" t="inlineStr">
        <is>
          <t>1. PATCH sharing false</t>
        </is>
      </c>
      <c r="E13" s="8" t="inlineStr">
        <is>
          <t>{"sharing_enabled": false}</t>
        </is>
      </c>
      <c r="F13" s="8" t="inlineStr">
        <is>
          <t>200; sharing_enabled=false</t>
        </is>
      </c>
      <c r="G13" s="8" t="inlineStr">
        <is>
          <t>Đúng như mong đợi</t>
        </is>
      </c>
      <c r="H13" s="7" t="inlineStr">
        <is>
          <t>Pass</t>
        </is>
      </c>
      <c r="I13" s="8" t="inlineStr">
        <is>
          <t>AC12 · test_disable_allowed_without_consent__AC12 · evidence/test-integration.log</t>
        </is>
      </c>
      <c r="Q13" s="10" t="inlineStr">
        <is>
          <t>403 + access_logs denied; không có trong danh sách nhận cảnh báo</t>
        </is>
      </c>
      <c r="R13" s="11" t="inlineStr">
        <is>
          <t>X</t>
        </is>
      </c>
      <c r="S13" s="11" t="inlineStr">
        <is>
          <t>X</t>
        </is>
      </c>
      <c r="T13" s="11" t="inlineStr">
        <is>
          <t>X</t>
        </is>
      </c>
      <c r="U13" s="11" t="inlineStr"/>
    </row>
    <row r="14" ht="74" customHeight="1">
      <c r="A14" s="7" t="inlineStr">
        <is>
          <t>TC-CAREGIVER-06</t>
        </is>
      </c>
      <c r="B14" s="7" t="inlineStr">
        <is>
          <t>Bật chia sẻ khi chưa đồng ý family_sharing</t>
        </is>
      </c>
      <c r="C14" s="8" t="inlineStr">
        <is>
          <t>Liên kết active, chia sẻ tắt; P đã rút family_sharing</t>
        </is>
      </c>
      <c r="D14" s="8" t="inlineStr">
        <is>
          <t>1. PATCH sharing true</t>
        </is>
      </c>
      <c r="E14" s="8" t="inlineStr">
        <is>
          <t>{"sharing_enabled": true}</t>
        </is>
      </c>
      <c r="F14" s="8" t="inlineStr">
        <is>
          <t>403 {"detail": "consent_revoked"}; công tắc vẫn tắt; audit enable_sharing/denied reason consent_revoked</t>
        </is>
      </c>
      <c r="G14" s="8" t="inlineStr">
        <is>
          <t>Đúng như mong đợi</t>
        </is>
      </c>
      <c r="H14" s="7" t="inlineStr">
        <is>
          <t>Pass</t>
        </is>
      </c>
      <c r="I14" s="8" t="inlineStr">
        <is>
          <t>AC7, AC10 · test_enable_without_consent_403_denied_audit__AC7_AC10 · evidence/test-integration.log</t>
        </is>
      </c>
      <c r="Q14" s="10" t="inlineStr">
        <is>
          <t>200 + access_logs allowed; có trong danh sách nhận cảnh báo</t>
        </is>
      </c>
      <c r="R14" s="11" t="inlineStr"/>
      <c r="S14" s="11" t="inlineStr"/>
      <c r="T14" s="11" t="inlineStr"/>
      <c r="U14" s="11" t="inlineStr">
        <is>
          <t>X</t>
        </is>
      </c>
    </row>
    <row r="15" ht="74" customHeight="1">
      <c r="A15" s="7" t="inlineStr">
        <is>
          <t>TC-CAREGIVER-07</t>
        </is>
      </c>
      <c r="B15" s="7" t="inlineStr">
        <is>
          <t>Bật chia sẻ cho liên kết cũ không có bằng chứng xác nhận</t>
        </is>
      </c>
      <c r="C15" s="8" t="inlineStr">
        <is>
          <t>Liên kết active tạo trước 3.16 (không có bằng chứng), chia sẻ bật</t>
        </is>
      </c>
      <c r="D15" s="8" t="inlineStr">
        <is>
          <t>1. PATCH sharing true
2. PATCH sharing false</t>
        </is>
      </c>
      <c r="E15" s="8" t="inlineStr">
        <is>
          <t>-</t>
        </is>
      </c>
      <c r="F15" s="8" t="inlineStr">
        <is>
          <t>true: 409 {"detail": "consent_confirmation_missing"}; false: 200, approved_at=null</t>
        </is>
      </c>
      <c r="G15" s="8" t="inlineStr">
        <is>
          <t>Đúng như mong đợi</t>
        </is>
      </c>
      <c r="H15" s="7" t="inlineStr">
        <is>
          <t>Pass</t>
        </is>
      </c>
      <c r="I15" s="8" t="inlineStr">
        <is>
          <t>AC10 · test_enable_legacy_link_409_confirmation_missing_but_disable_ok__AC10 · evidence/test-integration.log</t>
        </is>
      </c>
    </row>
    <row r="16" ht="90.5" customHeight="1">
      <c r="A16" s="7" t="inlineStr">
        <is>
          <t>TC-CAREGIVER-08</t>
        </is>
      </c>
      <c r="B16" s="7" t="inlineStr">
        <is>
          <t>Bật/tắt chia sẻ cho liên kết không active</t>
        </is>
      </c>
      <c r="C16" s="8" t="inlineStr">
        <is>
          <t>Liên kết pending, rejected hoặc revoked</t>
        </is>
      </c>
      <c r="D16" s="8" t="inlineStr">
        <is>
          <t>1. PATCH sharing true và false cho từng trạng thái</t>
        </is>
      </c>
      <c r="E16" s="8" t="inlineStr">
        <is>
          <t>6 tổ hợp trạng thái × giá trị</t>
        </is>
      </c>
      <c r="F16" s="8" t="inlineStr">
        <is>
          <t>409 {"detail": "family_link_not_active"}; dòng liên kết không đổi</t>
        </is>
      </c>
      <c r="G16" s="8" t="inlineStr">
        <is>
          <t>Đúng như mong đợi (6/6)</t>
        </is>
      </c>
      <c r="H16" s="7" t="inlineStr">
        <is>
          <t>Pass</t>
        </is>
      </c>
      <c r="I16" s="8" t="inlineStr">
        <is>
          <t>AC10 · EP (15) · Chuyển trạng thái (thao tác bị cấm) · test_sharing_on_non_active_link_409__AC10 · evidence/test-integration.log</t>
        </is>
      </c>
    </row>
    <row r="17" ht="74" customHeight="1">
      <c r="A17" s="7" t="inlineStr">
        <is>
          <t>TC-CAREGIVER-09</t>
        </is>
      </c>
      <c r="B17" s="7" t="inlineStr">
        <is>
          <t>Gửi body bật/tắt chia sẻ sai cấu trúc</t>
        </is>
      </c>
      <c r="C17" s="8" t="inlineStr">
        <is>
          <t>Đã đăng nhập</t>
        </is>
      </c>
      <c r="D17" s="8" t="inlineStr">
        <is>
          <t>1. PATCH /family/links/1/sharing với từng body sai</t>
        </is>
      </c>
      <c r="E17" s="8" t="inlineStr">
        <is>
          <t>(không body); {}; "true" (chuỗi); 1; null; {"sharing_enabled": true, "patient_id": "…"}</t>
        </is>
      </c>
      <c r="F17" s="8" t="inlineStr">
        <is>
          <t>422 ValidationError; không gọi use case</t>
        </is>
      </c>
      <c r="G17" s="8" t="inlineStr">
        <is>
          <t>422 cho mọi trường hợp</t>
        </is>
      </c>
      <c r="H17" s="7" t="inlineStr">
        <is>
          <t>Pass</t>
        </is>
      </c>
      <c r="I17" s="8" t="inlineStr">
        <is>
          <t>AC22 · EP (4,5,6,7,8) · test_strict_sharing_body_rejected_before_use_case · evidence/implement-final-backend.log</t>
        </is>
      </c>
    </row>
    <row r="18" ht="74" customHeight="1">
      <c r="A18" s="7" t="inlineStr">
        <is>
          <t>TC-CAREGIVER-10</t>
        </is>
      </c>
      <c r="B18" s="7" t="inlineStr">
        <is>
          <t>Gọi bật/tắt chia sẻ và hủy với link_id không hợp lệ</t>
        </is>
      </c>
      <c r="C18" s="8" t="inlineStr">
        <is>
          <t>Đã đăng nhập</t>
        </is>
      </c>
      <c r="D18" s="8" t="inlineStr">
        <is>
          <t>1. PATCH /family/links/{link_id}/sharing
2. POST /family/links/{link_id}/revoke</t>
        </is>
      </c>
      <c r="E18" s="8" t="inlineStr">
        <is>
          <t>link_id = 0, -1, abc, 1.1, 9223372036854775808</t>
        </is>
      </c>
      <c r="F18" s="8" t="inlineStr">
        <is>
          <t>422 cho mọi giá trị</t>
        </is>
      </c>
      <c r="G18" s="8" t="inlineStr">
        <is>
          <t>422</t>
        </is>
      </c>
      <c r="H18" s="7" t="inlineStr">
        <is>
          <t>Pass</t>
        </is>
      </c>
      <c r="I18" s="8" t="inlineStr">
        <is>
          <t>AC22 · EP (9,10,11,12) · BVA (min-1) · test_new_routes_invalid_path_id_is_422 · evidence/implement-final-backend.log</t>
        </is>
      </c>
    </row>
    <row r="19" ht="74" customHeight="1">
      <c r="A19" s="7" t="inlineStr">
        <is>
          <t>TC-CAREGIVER-11</t>
        </is>
      </c>
      <c r="B19" s="7" t="inlineStr">
        <is>
          <t>Thao tác trên liên kết không tồn tại</t>
        </is>
      </c>
      <c r="C19" s="8" t="inlineStr">
        <is>
          <t>P đã đăng nhập</t>
        </is>
      </c>
      <c r="D19" s="8" t="inlineStr">
        <is>
          <t>1. PATCH sharing true cho id 2000000000
2. POST revoke cho id 2000000000</t>
        </is>
      </c>
      <c r="E19" s="8" t="inlineStr">
        <is>
          <t>link_id=2000000000</t>
        </is>
      </c>
      <c r="F19" s="8" t="inlineStr">
        <is>
          <t>404 {"detail": "family_link_not_found"}; không ghi audit</t>
        </is>
      </c>
      <c r="G19" s="8" t="inlineStr">
        <is>
          <t>Đúng như mong đợi</t>
        </is>
      </c>
      <c r="H19" s="7" t="inlineStr">
        <is>
          <t>Pass</t>
        </is>
      </c>
      <c r="I19" s="8" t="inlineStr">
        <is>
          <t>AC10 · EP (13) · test_missing_link_404_without_allowed_audit__AC10 · evidence/test-integration.log</t>
        </is>
      </c>
    </row>
    <row r="20" ht="107" customHeight="1">
      <c r="A20" s="7" t="inlineStr">
        <is>
          <t>TC-CAREGIVER-12</t>
        </is>
      </c>
      <c r="B20" s="7" t="inlineStr">
        <is>
          <t>Người thân, người lạ, admin bật/tắt chia sẻ hoặc hủy liên kết thay patient</t>
        </is>
      </c>
      <c r="C20" s="8" t="inlineStr">
        <is>
          <t>Liên kết active P←F đang chia sẻ; người lạ X; admin A</t>
        </is>
      </c>
      <c r="D20" s="8" t="inlineStr">
        <is>
          <t>1. Gọi 3 endpoint không token
2. Với F, X, A: PATCH false, PATCH true, POST revoke
3. A gọi GET /family/caregivers
4. F, X gọi GET /family/caregivers
5. P gọi POST revoke</t>
        </is>
      </c>
      <c r="E20" s="8" t="inlineStr">
        <is>
          <t>-</t>
        </is>
      </c>
      <c r="F20" s="8" t="inlineStr">
        <is>
          <t>401 khi không token; 403 khong_co_quyen, liên kết không đổi, mỗi lượt 1 audit denied với actor là người gọi (admin không ghi patient/link); admin xem danh sách 403; F và X thấy items rỗng; P hủy được (200)</t>
        </is>
      </c>
      <c r="G20" s="8" t="inlineStr">
        <is>
          <t>Đúng như mong đợi</t>
        </is>
      </c>
      <c r="H20" s="7" t="inlineStr">
        <is>
          <t>Pass</t>
        </is>
      </c>
      <c r="I20" s="8" t="inlineStr">
        <is>
          <t>AC5 · EP (14) · test_new_endpoints_denied_caller_matrix__AC5 · evidence/test-integration.log</t>
        </is>
      </c>
    </row>
    <row r="21" ht="90.5" customHeight="1">
      <c r="A21" s="7" t="inlineStr">
        <is>
          <t>TC-CAREGIVER-13</t>
        </is>
      </c>
      <c r="B21" s="7" t="inlineStr">
        <is>
          <t>Hủy liên kết và gửi lại lệnh hủy</t>
        </is>
      </c>
      <c r="C21" s="8" t="inlineStr">
        <is>
          <t>Liên kết active đang chia sẻ</t>
        </is>
      </c>
      <c r="D21" s="8" t="inlineStr">
        <is>
          <t>1. POST /family/links/{id}/revoke
2. POST revoke lần 2
3. GET /family/caregivers</t>
        </is>
      </c>
      <c r="E21" s="8" t="inlineStr">
        <is>
          <t>(không body)</t>
        </is>
      </c>
      <c r="F21" s="8" t="inlineStr">
        <is>
          <t>200 {link_id, family_user_id, status: revoked, revoked_at}; lần 2 trả y hệt; bằng chứng đồng ý vẫn còn 1 dòng; audit revoke x2; danh sách rỗng</t>
        </is>
      </c>
      <c r="G21" s="8" t="inlineStr">
        <is>
          <t>Đúng như mong đợi</t>
        </is>
      </c>
      <c r="H21" s="7" t="inlineStr">
        <is>
          <t>Pass</t>
        </is>
      </c>
      <c r="I21" s="8" t="inlineStr">
        <is>
          <t>AC13 · Chuyển trạng thái (active→revoked) · test_revoke_keeps_history_and_replay_returns_same_time__AC13 · evidence/test-integration.log</t>
        </is>
      </c>
    </row>
    <row r="22" ht="74" customHeight="1">
      <c r="A22" s="7" t="inlineStr">
        <is>
          <t>TC-CAREGIVER-14</t>
        </is>
      </c>
      <c r="B22" s="7" t="inlineStr">
        <is>
          <t>Liên kết lại sau khi hủy</t>
        </is>
      </c>
      <c r="C22" s="8" t="inlineStr">
        <is>
          <t>Liên kết đã chấp thuận, bật chia sẻ, rồi bị hủy</t>
        </is>
      </c>
      <c r="D22" s="8" t="inlineStr">
        <is>
          <t>1. F gửi lại yêu cầu bằng mã của P
2. P chấp thuận</t>
        </is>
      </c>
      <c r="E22" s="8" t="inlineStr">
        <is>
          <t>client_uuid mới</t>
        </is>
      </c>
      <c r="F22" s="8" t="inlineStr">
        <is>
          <t>201 tạo liên kết mới pending (id khác); sau chấp thuận sharing_enabled=false; bằng chứng mới riêng, bằng chứng cũ còn; liên kết cũ vẫn revoked</t>
        </is>
      </c>
      <c r="G22" s="8" t="inlineStr">
        <is>
          <t>Đúng như mong đợi</t>
        </is>
      </c>
      <c r="H22" s="7" t="inlineStr">
        <is>
          <t>Pass</t>
        </is>
      </c>
      <c r="I22" s="8" t="inlineStr">
        <is>
          <t>AC13 · test_relink_after_revoke_starts_unshared_with_new_evidence__AC13 · evidence/test-integration.log</t>
        </is>
      </c>
    </row>
    <row r="23" ht="74" customHeight="1">
      <c r="A23" s="7" t="inlineStr">
        <is>
          <t>TC-CAREGIVER-15</t>
        </is>
      </c>
      <c r="B23" s="7" t="inlineStr">
        <is>
          <t>Hủy liên kết đang chờ hoặc đã bị từ chối</t>
        </is>
      </c>
      <c r="C23" s="8" t="inlineStr">
        <is>
          <t>Liên kết pending hoặc rejected</t>
        </is>
      </c>
      <c r="D23" s="8" t="inlineStr">
        <is>
          <t>1. POST revoke</t>
        </is>
      </c>
      <c r="E23" s="8" t="inlineStr">
        <is>
          <t>-</t>
        </is>
      </c>
      <c r="F23" s="8" t="inlineStr">
        <is>
          <t>409 {"detail": "invalid_link_transition"}; liên kết không đổi</t>
        </is>
      </c>
      <c r="G23" s="8" t="inlineStr">
        <is>
          <t>Đúng như mong đợi</t>
        </is>
      </c>
      <c r="H23" s="7" t="inlineStr">
        <is>
          <t>Pass</t>
        </is>
      </c>
      <c r="I23" s="8" t="inlineStr">
        <is>
          <t>AC10 · Chuyển trạng thái (chuyển bị cấm) · test_revoke_pending_or_rejected_409__AC10 · evidence/test-integration.log</t>
        </is>
      </c>
    </row>
    <row r="24" ht="57.5" customHeight="1">
      <c r="A24" s="7" t="inlineStr">
        <is>
          <t>TC-CAREGIVER-16</t>
        </is>
      </c>
      <c r="B24" s="7" t="inlineStr">
        <is>
          <t>Gửi body khi hủy liên kết</t>
        </is>
      </c>
      <c r="C24" s="8" t="inlineStr">
        <is>
          <t>Liên kết active</t>
        </is>
      </c>
      <c r="D24" s="8" t="inlineStr">
        <is>
          <t>1. POST revoke với body {}</t>
        </is>
      </c>
      <c r="E24" s="8" t="inlineStr">
        <is>
          <t>{}</t>
        </is>
      </c>
      <c r="F24" s="8" t="inlineStr">
        <is>
          <t>422; liên kết vẫn active</t>
        </is>
      </c>
      <c r="G24" s="8" t="inlineStr">
        <is>
          <t>422</t>
        </is>
      </c>
      <c r="H24" s="7" t="inlineStr">
        <is>
          <t>Pass</t>
        </is>
      </c>
      <c r="I24" s="8" t="inlineStr">
        <is>
          <t>AC10 · Đoán lỗi · test_revoke_with_body_is_422__AC10 · evidence/test-integration.log</t>
        </is>
      </c>
    </row>
    <row r="25" ht="123.5" customHeight="1">
      <c r="A25" s="7" t="inlineStr">
        <is>
          <t>TC-CAREGIVER-17</t>
        </is>
      </c>
      <c r="B25" s="7" t="inlineStr">
        <is>
          <t>Mỗi quyết định của patient có hiệu lực ngay ở request kế tiếp của người thân</t>
        </is>
      </c>
      <c r="C25" s="8" t="inlineStr">
        <is>
          <t>P có health_data và family_sharing, có một thuốc; F dùng một token duy nhất</t>
        </is>
      </c>
      <c r="D25" s="8" t="inlineStr">
        <is>
          <t>1. F gửi yêu cầu (pending) → F đọc GET /medications/{id}
2. P chấp thuận → F đọc
3. P bật chia sẻ → F đọc
4. P tắt chia sẻ → F đọc
5. P bật lại → F đọc, P hủy liên kết → F đọc
6. F gửi lại, P từ chối → F đọc</t>
        </is>
      </c>
      <c r="E25" s="8" t="inlineStr">
        <is>
          <t>-</t>
        </is>
      </c>
      <c r="F25" s="8" t="inlineStr">
        <is>
          <t>403 + access_logs denied ở pending, chấp thuận (chia sẻ tắt), tắt chia sẻ, hủy, từ chối; 200 + allowed (actor_role family) khi đang chia sẻ; danh sách nhận cảnh báo (authorized_caregivers) có F đúng khi được 200</t>
        </is>
      </c>
      <c r="G25" s="8" t="inlineStr">
        <is>
          <t>Đúng như mong đợi</t>
        </is>
      </c>
      <c r="H25" s="7" t="inlineStr">
        <is>
          <t>Pass</t>
        </is>
      </c>
      <c r="I25" s="8" t="inlineStr">
        <is>
          <t>AC6 · Decision Table (R1, R2, R4) · test_every_decision_applies_on_next_request_same_token__AC6 · evidence/test-integration.log</t>
        </is>
      </c>
    </row>
    <row r="26" ht="74" customHeight="1">
      <c r="A26" s="7" t="inlineStr">
        <is>
          <t>TC-CAREGIVER-18</t>
        </is>
      </c>
      <c r="B26" s="7" t="inlineStr">
        <is>
          <t>Rút family_sharing khi công tắc vẫn bật</t>
        </is>
      </c>
      <c r="C26" s="8" t="inlineStr">
        <is>
          <t>Liên kết active đang chia sẻ, F đọc được</t>
        </is>
      </c>
      <c r="D26" s="8" t="inlineStr">
        <is>
          <t>1. P rút family_sharing
2. F đọc GET /medications/{id} ngay</t>
        </is>
      </c>
      <c r="E26" s="8" t="inlineStr">
        <is>
          <t>-</t>
        </is>
      </c>
      <c r="F26" s="8" t="inlineStr">
        <is>
          <t>403 + access_logs denied; F không còn trong danh sách nhận cảnh báo; công tắc không tự đổi</t>
        </is>
      </c>
      <c r="G26" s="8" t="inlineStr">
        <is>
          <t>Đúng như mong đợi</t>
        </is>
      </c>
      <c r="H26" s="7" t="inlineStr">
        <is>
          <t>Pass</t>
        </is>
      </c>
      <c r="I26" s="8" t="inlineStr">
        <is>
          <t>AC6 · Decision Table (R3) · test_consent_withdrawal_blocks_even_with_sharing_on__AC6 · evidence/test-integration.log</t>
        </is>
      </c>
    </row>
    <row r="27" ht="74" customHeight="1">
      <c r="A27" s="7" t="inlineStr">
        <is>
          <t>TC-CAREGIVER-19</t>
        </is>
      </c>
      <c r="B27" s="7" t="inlineStr">
        <is>
          <t>Hủy liên kết và bật chia sẻ cùng lúc</t>
        </is>
      </c>
      <c r="C27" s="8" t="inlineStr">
        <is>
          <t>Liên kết active, chia sẻ tắt; giữ khóa dòng để hai request cùng chờ</t>
        </is>
      </c>
      <c r="D27" s="8" t="inlineStr">
        <is>
          <t>1. Gửi đồng thời PATCH sharing true và POST revoke
2. Nhả khóa
3. F đọc dữ liệu</t>
        </is>
      </c>
      <c r="E27" s="8" t="inlineStr">
        <is>
          <t>-</t>
        </is>
      </c>
      <c r="F27" s="8" t="inlineStr">
        <is>
          <t>Revoke 200; PATCH 200 hoặc 409 family_link_not_active; trạng thái cuối revoked; F nhận 403 + denied</t>
        </is>
      </c>
      <c r="G27" s="8" t="inlineStr">
        <is>
          <t>Đúng như mong đợi (chạy 5 lần đều pass)</t>
        </is>
      </c>
      <c r="H27" s="7" t="inlineStr">
        <is>
          <t>Pass</t>
        </is>
      </c>
      <c r="I27" s="8" t="inlineStr">
        <is>
          <t>AC15 · Đoán lỗi (chạy đua) · test_concurrent_revoke_and_enable_sharing_ends_revoked__AC15 · evidence/test-integration.log</t>
        </is>
      </c>
    </row>
    <row r="28" ht="107" customHeight="1">
      <c r="A28" s="7" t="inlineStr">
        <is>
          <t>TC-CAREGIVER-20</t>
        </is>
      </c>
      <c r="B28" s="7" t="inlineStr">
        <is>
          <t>Kiểm migration audit cho thao tác mới</t>
        </is>
      </c>
      <c r="C28" s="8" t="inlineStr">
        <is>
          <t>DB reset sạch (supabase db reset)</t>
        </is>
      </c>
      <c r="D28" s="8" t="inlineStr">
        <is>
          <t>1. Chèn audit list_caregivers không link_id
2. Chèn enable_sharing/disable_sharing/revoke allowed và denied
3. Chèn operation lạ
4. Chèn allowed gắn link không có link_id
5. UPDATE/DELETE/TRUNCATE với mọi role</t>
        </is>
      </c>
      <c r="E28" s="8" t="inlineStr">
        <is>
          <t>operation = update_sharing, delete, LIST_CAREGIVERS, (blank)</t>
        </is>
      </c>
      <c r="F28" s="8" t="inlineStr">
        <is>
          <t>Operation mới được nhận; operation lạ và allowed gắn link thiếu link_id bị từ chối; mọi role không sửa/xóa được; ràng buộc đúng định nghĩa migration</t>
        </is>
      </c>
      <c r="G28" s="8" t="inlineStr">
        <is>
          <t>Đúng như mong đợi (32 test)</t>
        </is>
      </c>
      <c r="H28" s="7" t="inlineStr">
        <is>
          <t>Pass</t>
        </is>
      </c>
      <c r="I28" s="8" t="inlineStr">
        <is>
          <t>AC14 · test_migration_family_link_audit_operations.py · evidence/test-integration.log, evidence/test-db-reset.log</t>
        </is>
      </c>
    </row>
    <row r="29" ht="74" customHeight="1">
      <c r="A29" s="7" t="inlineStr">
        <is>
          <t>TC-CAREGIVER-21</t>
        </is>
      </c>
      <c r="B29" s="7" t="inlineStr">
        <is>
          <t>Mở màn Người giám sát từ Hồ sơ</t>
        </is>
      </c>
      <c r="C29" s="8" t="inlineStr">
        <is>
          <t>App mobile; có 2 người giám sát (1 không tên, 1 liên kết cũ)</t>
        </is>
      </c>
      <c r="D29" s="8" t="inlineStr">
        <is>
          <t>1. Hồ sơ &gt; Người giám sát</t>
        </is>
      </c>
      <c r="E29" s="8" t="inlineStr">
        <is>
          <t>approved_at = 2026-10-14T18:00:00Z</t>
        </is>
      </c>
      <c r="F29" s="8" t="inlineStr">
        <is>
          <t>Không còn "Sắp ra mắt"; hiện tên, "Chấp thuận ngày 15/10/2026", "Người dùng DrugTime", "Liên kết trước khi có bước xác nhận đồng ý", công tắc đúng giá trị</t>
        </is>
      </c>
      <c r="G29" s="8" t="inlineStr">
        <is>
          <t>Đúng như mong đợi</t>
        </is>
      </c>
      <c r="H29" s="7" t="inlineStr">
        <is>
          <t>Pass</t>
        </is>
      </c>
      <c r="I29" s="8" t="inlineStr">
        <is>
          <t>AC20 · caregivers_screen_test.dart (AC20), profile_screens_test.dart (AC20) · evidence/implement-final-frontend.log</t>
        </is>
      </c>
    </row>
    <row r="30" ht="74" customHeight="1">
      <c r="A30" s="7" t="inlineStr">
        <is>
          <t>TC-CAREGIVER-22</t>
        </is>
      </c>
      <c r="B30" s="7" t="inlineStr">
        <is>
          <t>Màn trống: bấm Mở tab Người thân</t>
        </is>
      </c>
      <c r="C30" s="8" t="inlineStr">
        <is>
          <t>Chưa có người giám sát</t>
        </is>
      </c>
      <c r="D30" s="8" t="inlineStr">
        <is>
          <t>1. Hồ sơ &gt; Người giám sát
2. Bấm "Mở tab Người thân"</t>
        </is>
      </c>
      <c r="E30" s="8" t="inlineStr">
        <is>
          <t>-</t>
        </is>
      </c>
      <c r="F30" s="8" t="inlineStr">
        <is>
          <t>Hiện "Chưa có người giám sát"; bấm nút thì đóng màn, shell chuyển sang tab Người thân và tải yêu cầu đang chờ</t>
        </is>
      </c>
      <c r="G30" s="8" t="inlineStr">
        <is>
          <t>Đúng như mong đợi</t>
        </is>
      </c>
      <c r="H30" s="7" t="inlineStr">
        <is>
          <t>Pass</t>
        </is>
      </c>
      <c r="I30" s="8" t="inlineStr">
        <is>
          <t>AC20 · app_shell_test.dart (AC20), caregivers_screen_test.dart · evidence/implement-final-frontend.log</t>
        </is>
      </c>
    </row>
    <row r="31" ht="74" customHeight="1">
      <c r="A31" s="7" t="inlineStr">
        <is>
          <t>TC-CAREGIVER-23</t>
        </is>
      </c>
      <c r="B31" s="7" t="inlineStr">
        <is>
          <t>Gạt công tắc chia sẻ trên app</t>
        </is>
      </c>
      <c r="C31" s="8" t="inlineStr">
        <is>
          <t>Có người giám sát</t>
        </is>
      </c>
      <c r="D31" s="8" t="inlineStr">
        <is>
          <t>1. Gạt công tắc
2. Trong lúc chờ gạt lại
3. Lần khác: server trả lỗi mạng</t>
        </is>
      </c>
      <c r="E31" s="8" t="inlineStr">
        <is>
          <t>-</t>
        </is>
      </c>
      <c r="F31" s="8" t="inlineStr">
        <is>
          <t>Công tắc và nút hủy khóa khi đang gửi, chỉ 1 request; hiện giá trị server trả và báo "Đã bật/tắt chia sẻ với …"; lỗi mạng thì giữ giá trị cũ và báo lỗi</t>
        </is>
      </c>
      <c r="G31" s="8" t="inlineStr">
        <is>
          <t>Đúng như mong đợi</t>
        </is>
      </c>
      <c r="H31" s="7" t="inlineStr">
        <is>
          <t>Pass</t>
        </is>
      </c>
      <c r="I31" s="8" t="inlineStr">
        <is>
          <t>AC21 · Đoán lỗi (bấm liên tục, mất mạng) · caregivers_screen_test.dart (AC21) · evidence/implement-final-frontend.log</t>
        </is>
      </c>
    </row>
    <row r="32" ht="90.5" customHeight="1">
      <c r="A32" s="7" t="inlineStr">
        <is>
          <t>TC-CAREGIVER-24</t>
        </is>
      </c>
      <c r="B32" s="7" t="inlineStr">
        <is>
          <t>Hủy liên kết trên app có hộp xác nhận</t>
        </is>
      </c>
      <c r="C32" s="8" t="inlineStr">
        <is>
          <t>Có người giám sát Nguyễn Văn An</t>
        </is>
      </c>
      <c r="D32" s="8" t="inlineStr">
        <is>
          <t>1. Bấm Hủy liên kết rồi Giữ liên kết
2. Bấm Hủy liên kết rồi xác nhận</t>
        </is>
      </c>
      <c r="E32" s="8" t="inlineStr">
        <is>
          <t>-</t>
        </is>
      </c>
      <c r="F32" s="8" t="inlineStr">
        <is>
          <t>Hộp nêu người thân mất quyền xem ngay và phải gửi yêu cầu mới; giữ thì không gọi API; xác nhận thì gọi revoke rồi tải lại, mục biến mất, báo "Đã hủy liên kết với Nguyễn Văn An."</t>
        </is>
      </c>
      <c r="G32" s="8" t="inlineStr">
        <is>
          <t>Đúng như mong đợi</t>
        </is>
      </c>
      <c r="H32" s="7" t="inlineStr">
        <is>
          <t>Pass</t>
        </is>
      </c>
      <c r="I32" s="8" t="inlineStr">
        <is>
          <t>AC21 · caregivers_screen_test.dart (AC21) · evidence/implement-final-frontend.log</t>
        </is>
      </c>
    </row>
    <row r="33" ht="57.5" customHeight="1">
      <c r="A33" s="7" t="inlineStr">
        <is>
          <t>TC-CAREGIVER-25</t>
        </is>
      </c>
      <c r="B33" s="7" t="inlineStr">
        <is>
          <t>Chưa bật family_sharing: chỉ tắt được, không bật được</t>
        </is>
      </c>
      <c r="C33" s="8" t="inlineStr">
        <is>
          <t>Tài khoản chưa bật family_sharing; 1 người giám sát đang tắt, 1 đang bật</t>
        </is>
      </c>
      <c r="D33" s="8" t="inlineStr">
        <is>
          <t>1. Mở màn Người giám sát
2. Bấm "Mở Quyền riêng tư"</t>
        </is>
      </c>
      <c r="E33" s="8" t="inlineStr">
        <is>
          <t>-</t>
        </is>
      </c>
      <c r="F33" s="8" t="inlineStr">
        <is>
          <t>Có dải nhắc; công tắc đang tắt bị khóa, công tắc đang bật vẫn tắt được; nút mở màn Quyền riêng tư</t>
        </is>
      </c>
      <c r="G33" s="8" t="inlineStr">
        <is>
          <t>Đúng như mong đợi</t>
        </is>
      </c>
      <c r="H33" s="7" t="inlineStr">
        <is>
          <t>Pass</t>
        </is>
      </c>
      <c r="I33" s="8" t="inlineStr">
        <is>
          <t>AC19 · caregivers_screen_test.dart (AC19) · evidence/implement-final-frontend.log</t>
        </is>
      </c>
    </row>
    <row r="34" ht="57.5" customHeight="1">
      <c r="A34" s="7" t="inlineStr">
        <is>
          <t>TC-CAREGIVER-26</t>
        </is>
      </c>
      <c r="B34" s="7" t="inlineStr">
        <is>
          <t>Xử lý lỗi khi bật chia sẻ trên app</t>
        </is>
      </c>
      <c r="C34" s="8" t="inlineStr">
        <is>
          <t>Có người giám sát; server trả lỗi</t>
        </is>
      </c>
      <c r="D34" s="8" t="inlineStr">
        <is>
          <t>1. Bật chia sẻ khi server trả lần lượt 403 consent_revoked, 409, 404, 409 consent_confirmation_missing, lỗi mạng</t>
        </is>
      </c>
      <c r="E34" s="8" t="inlineStr">
        <is>
          <t>-</t>
        </is>
      </c>
      <c r="F34" s="8" t="inlineStr">
        <is>
          <t>Báo đúng câu cho từng lỗi; công tắc giữ giá trị cũ; 409/404 thì tải lại danh sách</t>
        </is>
      </c>
      <c r="G34" s="8" t="inlineStr">
        <is>
          <t>Đúng như mong đợi</t>
        </is>
      </c>
      <c r="H34" s="7" t="inlineStr">
        <is>
          <t>Pass</t>
        </is>
      </c>
      <c r="I34" s="8" t="inlineStr">
        <is>
          <t>AC22 · caregivers_screen_test.dart (AC22) · evidence/implement-final-frontend.log</t>
        </is>
      </c>
    </row>
    <row r="35" ht="57.5" customHeight="1">
      <c r="A35" s="7" t="inlineStr">
        <is>
          <t>TC-CAREGIVER-27</t>
        </is>
      </c>
      <c r="B35" s="7" t="inlineStr">
        <is>
          <t>Mở lại màn và kéo xuống luôn gọi lại API</t>
        </is>
      </c>
      <c r="C35" s="8" t="inlineStr">
        <is>
          <t>Có người giám sát</t>
        </is>
      </c>
      <c r="D35" s="8" t="inlineStr">
        <is>
          <t>1. Kéo xuống
2. Đóng rồi mở lại màn</t>
        </is>
      </c>
      <c r="E35" s="8" t="inlineStr">
        <is>
          <t>-</t>
        </is>
      </c>
      <c r="F35" s="8" t="inlineStr">
        <is>
          <t>Mỗi lần gọi lại listCaregivers; không dùng dữ liệu cũ</t>
        </is>
      </c>
      <c r="G35" s="8" t="inlineStr">
        <is>
          <t>Đúng như mong đợi</t>
        </is>
      </c>
      <c r="H35" s="7" t="inlineStr">
        <is>
          <t>Pass</t>
        </is>
      </c>
      <c r="I35" s="8" t="inlineStr">
        <is>
          <t>AC22 · caregivers_screen_test.dart (AC20, AC22) · evidence/implement-final-frontend.log</t>
        </is>
      </c>
    </row>
    <row r="36" ht="90.5" customHeight="1">
      <c r="A36" s="7" t="inlineStr">
        <is>
          <t>TC-CAREGIVER-28</t>
        </is>
      </c>
      <c r="B36" s="7" t="inlineStr">
        <is>
          <t>Bật/tắt chia sẻ và hủy liên kết thật trên hai thiết bị</t>
        </is>
      </c>
      <c r="C36" s="8" t="inlineStr">
        <is>
          <t>P và F đã liên kết, chia sẻ bật; backend đang chạy</t>
        </is>
      </c>
      <c r="D36" s="8" t="inlineStr">
        <is>
          <t>1. F mở dữ liệu thuốc của P
2. P tắt chia sẻ ở Hồ sơ &gt; Người giám sát
3. F tải lại
4. P bật lại rồi Hủy liên kết
5. F tải lại; F gửi lại mã</t>
        </is>
      </c>
      <c r="E36" s="8" t="inlineStr">
        <is>
          <t>-</t>
        </is>
      </c>
      <c r="F36" s="8" t="inlineStr">
        <is>
          <t>F xem được khi đang chia sẻ; sau khi tắt hoặc hủy, lần tải kế tiếp F bị từ chối; sau khi hủy F gửi lại mã tạo được yêu cầu mới</t>
        </is>
      </c>
      <c r="G36" s="8" t="inlineStr"/>
      <c r="H36" s="7" t="inlineStr">
        <is>
          <t>Pending</t>
        </is>
      </c>
      <c r="I36" s="8" t="inlineStr">
        <is>
          <t>AC23 · manual</t>
        </is>
      </c>
    </row>
    <row r="37"/>
    <row r="38"/>
    <row r="39">
      <c r="G39" s="12" t="inlineStr">
        <is>
          <t>Pass</t>
        </is>
      </c>
      <c r="H39" s="13">
        <f>COUNTIF(H9:H36,"Pass")</f>
        <v/>
      </c>
    </row>
    <row r="40">
      <c r="G40" s="12" t="inlineStr">
        <is>
          <t>Fail</t>
        </is>
      </c>
      <c r="H40" s="13">
        <f>COUNTIF(H9:H36,"Fail")</f>
        <v/>
      </c>
    </row>
    <row r="41">
      <c r="G41" s="12" t="inlineStr">
        <is>
          <t>Pending</t>
        </is>
      </c>
      <c r="H41" s="13">
        <f>COUNTIF(H9:H36,"Pending")</f>
        <v/>
      </c>
    </row>
    <row r="42">
      <c r="G42" s="12" t="inlineStr">
        <is>
          <t>Total</t>
        </is>
      </c>
      <c r="H42" s="13">
        <f>SUM(H39:H41)</f>
        <v/>
      </c>
    </row>
  </sheetData>
  <autoFilter ref="A8:I36"/>
  <conditionalFormatting sqref="H9:H36">
    <cfRule type="cellIs" priority="1" operator="equal" dxfId="0">
      <formula>"Fail"</formula>
    </cfRule>
  </conditionalFormatting>
  <dataValidations count="1">
    <dataValidation sqref="H9:H36" showDropDown="0" showInputMessage="0" showErrorMessage="0" allowBlank="0" type="list">
      <formula1>"Pass,Fail,Pending"</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8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 width="8" customWidth="1" min="23" max="23"/>
  </cols>
  <sheetData>
    <row r="1">
      <c r="A1" s="1" t="inlineStr">
        <is>
          <t>Project Name</t>
        </is>
      </c>
      <c r="B1" s="2" t="inlineStr">
        <is>
          <t>DrugTime</t>
        </is>
      </c>
    </row>
    <row r="2">
      <c r="A2" s="1" t="inlineStr">
        <is>
          <t>Module Name</t>
        </is>
      </c>
      <c r="B2" s="2" t="inlineStr">
        <is>
          <t>Cảnh báo người thân (FALERT)</t>
        </is>
      </c>
    </row>
    <row r="3">
      <c r="A3" s="1" t="inlineStr">
        <is>
          <t>Created By</t>
        </is>
      </c>
      <c r="B3" s="2" t="inlineStr">
        <is>
          <t>phucnguyenngoc</t>
        </is>
      </c>
    </row>
    <row r="4">
      <c r="A4" s="1" t="inlineStr">
        <is>
          <t>Creation Date</t>
        </is>
      </c>
      <c r="B4" s="21" t="n">
        <v>46317</v>
      </c>
    </row>
    <row r="5">
      <c r="A5" s="1" t="inlineStr">
        <is>
          <t>Reviewed By</t>
        </is>
      </c>
      <c r="B5" s="2" t="inlineStr"/>
    </row>
    <row r="6">
      <c r="A6" s="1" t="inlineStr">
        <is>
          <t>Reviewed Date</t>
        </is>
      </c>
      <c r="B6" s="2" t="n"/>
    </row>
    <row r="7">
      <c r="K7" s="4" t="inlineStr">
        <is>
          <t>Equivalence Partitioning</t>
        </is>
      </c>
      <c r="Q7" s="4" t="inlineStr">
        <is>
          <t>Quyền notification hiện hành</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c r="W8" s="5" t="inlineStr">
        <is>
          <t>R6</t>
        </is>
      </c>
    </row>
    <row r="9" ht="156.5" customHeight="1">
      <c r="A9" s="7" t="inlineStr">
        <is>
          <t>TC-FALERT-01</t>
        </is>
      </c>
      <c r="B9" s="7" t="inlineStr">
        <is>
          <t>Kiểm tra hộp thư, đọc chi tiết và PATCH lặp</t>
        </is>
      </c>
      <c r="C9" s="8" t="inlineStr">
        <is>
          <t>Supabase local đã reset, API dùng api_role; dữ liệu test synthetic độc lập. Không dùng DB deploy.</t>
        </is>
      </c>
      <c r="D9" s="8" t="inlineStr">
        <is>
          <t>1. Đăng nhập người thân F có liên kết active và hai consent của P.
2. Tạo một notification chưa đọc với thuốc Thuốc snapshot, giờ 2026-10-20T01:00:00Z.
3. GET /notifications, GET /notifications/{id}; PATCH is_read=true hai lần; GET lại danh sách.
4. Đếm dose_logs và truy vấn access_logs theo P.</t>
        </is>
      </c>
      <c r="E9" s="8" t="inlineStr">
        <is>
          <t>P/F là UUID synthetic mới mỗi lần; ID notification lấy từ DB fixture; giờ 2026-10-20T01:00:00Z.</t>
        </is>
      </c>
      <c r="F9" s="8" t="inlineStr">
        <is>
          <t>List total=1/unread=1; detail đủ patient/thuốc/giờ và không mark read; PATCH 200; unread=0; 5 allowed ADHERENCE/READ; dose không đổi.</t>
        </is>
      </c>
      <c r="G9" s="8" t="inlineStr">
        <is>
          <t>Đã chạy tự động: các kiểm tra response và DB nêu ở Expected Result đều pass.</t>
        </is>
      </c>
      <c r="H9" s="7" t="inlineStr">
        <is>
          <t>Pass</t>
        </is>
      </c>
      <c r="I9" s="8" t="inlineStr">
        <is>
          <t>AC3, AC4 · đoán lỗi, chuyển trạng thái và bảo mật · test_allowed_list_detail_patch_use_read_audit_and_replay__AC3_AC4 · evidence/test-task-integration-final.log</t>
        </is>
      </c>
      <c r="K9" s="9" t="inlineStr">
        <is>
          <t>limit</t>
        </is>
      </c>
      <c r="L9" s="10" t="inlineStr">
        <is>
          <t>1..100</t>
        </is>
      </c>
      <c r="M9" s="10" t="inlineStr">
        <is>
          <t>1</t>
        </is>
      </c>
      <c r="N9" s="10" t="inlineStr">
        <is>
          <t>0
101</t>
        </is>
      </c>
      <c r="O9" s="10" t="inlineStr">
        <is>
          <t>3
4</t>
        </is>
      </c>
      <c r="Q9" s="10" t="inlineStr">
        <is>
          <t>Liên kết active?</t>
        </is>
      </c>
      <c r="R9" s="11" t="inlineStr">
        <is>
          <t>Yes</t>
        </is>
      </c>
      <c r="S9" s="11" t="inlineStr">
        <is>
          <t>No</t>
        </is>
      </c>
      <c r="T9" s="11" t="inlineStr">
        <is>
          <t>Yes</t>
        </is>
      </c>
      <c r="U9" s="11" t="inlineStr">
        <is>
          <t>Yes</t>
        </is>
      </c>
      <c r="V9" s="11" t="inlineStr">
        <is>
          <t>Yes</t>
        </is>
      </c>
      <c r="W9" s="11" t="inlineStr">
        <is>
          <t>Yes</t>
        </is>
      </c>
    </row>
    <row r="10" ht="107" customHeight="1">
      <c r="A10" s="7" t="inlineStr">
        <is>
          <t>TC-FALERT-02</t>
        </is>
      </c>
      <c r="B10" s="7" t="inlineStr">
        <is>
          <t>Kiểm tra request kế tiếp sau thu hồi quyền [list-unlinked]</t>
        </is>
      </c>
      <c r="C10" s="8" t="inlineStr">
        <is>
          <t>Supabase local đã reset, API dùng api_role; dữ liệu test synthetic độc lập. Không dùng DB deploy.</t>
        </is>
      </c>
      <c r="D10"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0" s="8" t="inlineStr">
        <is>
          <t>list-unlinked</t>
        </is>
      </c>
      <c r="F10" s="8" t="inlineStr">
        <is>
          <t>List 200 items=[] total=0 unread_count=0; detail/PATCH 403 khong_co_quyen; có denied; is_read không đổi.</t>
        </is>
      </c>
      <c r="G10" s="8" t="inlineStr">
        <is>
          <t>Đã chạy tự động: các kiểm tra response và DB nêu ở Expected Result đều pass.</t>
        </is>
      </c>
      <c r="H10" s="7" t="inlineStr">
        <is>
          <t>Pass</t>
        </is>
      </c>
      <c r="I10" s="8" t="inlineStr">
        <is>
          <t>AC5 · Decision Table (R2) · test_revocation_next_request_filters_counts_or_denies_and_audits__AC5[list-unlinked] · evidence/test-task-integration-final.log</t>
        </is>
      </c>
      <c r="K10" s="9" t="inlineStr">
        <is>
          <t>offset</t>
        </is>
      </c>
      <c r="L10" s="10" t="inlineStr">
        <is>
          <t>0 hoặc số dương</t>
        </is>
      </c>
      <c r="M10" s="10" t="inlineStr">
        <is>
          <t>2</t>
        </is>
      </c>
      <c r="N10" s="10" t="inlineStr">
        <is>
          <t>-1</t>
        </is>
      </c>
      <c r="O10" s="10" t="inlineStr">
        <is>
          <t>5</t>
        </is>
      </c>
      <c r="Q10" s="10" t="inlineStr">
        <is>
          <t>Chia sẻ bật?</t>
        </is>
      </c>
      <c r="R10" s="11" t="inlineStr">
        <is>
          <t>Yes</t>
        </is>
      </c>
      <c r="S10" s="11" t="inlineStr">
        <is>
          <t>-</t>
        </is>
      </c>
      <c r="T10" s="11" t="inlineStr">
        <is>
          <t>No</t>
        </is>
      </c>
      <c r="U10" s="11" t="inlineStr">
        <is>
          <t>Yes</t>
        </is>
      </c>
      <c r="V10" s="11" t="inlineStr">
        <is>
          <t>Yes</t>
        </is>
      </c>
      <c r="W10" s="11" t="inlineStr">
        <is>
          <t>Yes</t>
        </is>
      </c>
    </row>
    <row r="11" ht="107" customHeight="1">
      <c r="A11" s="7" t="inlineStr">
        <is>
          <t>TC-FALERT-03</t>
        </is>
      </c>
      <c r="B11" s="7" t="inlineStr">
        <is>
          <t>Kiểm tra request kế tiếp sau thu hồi quyền [list-inactive]</t>
        </is>
      </c>
      <c r="C11" s="8" t="inlineStr">
        <is>
          <t>Supabase local đã reset, API dùng api_role; dữ liệu test synthetic độc lập. Không dùng DB deploy.</t>
        </is>
      </c>
      <c r="D11"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1" s="8" t="inlineStr">
        <is>
          <t>list-inactive</t>
        </is>
      </c>
      <c r="F11" s="8" t="inlineStr">
        <is>
          <t>List 200 items=[] total=0 unread_count=0; detail/PATCH 403 khong_co_quyen; có denied; is_read không đổi.</t>
        </is>
      </c>
      <c r="G11" s="8" t="inlineStr">
        <is>
          <t>Đã chạy tự động: các kiểm tra response và DB nêu ở Expected Result đều pass.</t>
        </is>
      </c>
      <c r="H11" s="7" t="inlineStr">
        <is>
          <t>Pass</t>
        </is>
      </c>
      <c r="I11" s="8" t="inlineStr">
        <is>
          <t>AC5 · Decision Table (R2) · test_revocation_next_request_filters_counts_or_denies_and_audits__AC5[list-inactive] · evidence/test-task-integration-final.log</t>
        </is>
      </c>
      <c r="Q11" s="10" t="inlineStr">
        <is>
          <t>health_data còn hiệu lực?</t>
        </is>
      </c>
      <c r="R11" s="11" t="inlineStr">
        <is>
          <t>Yes</t>
        </is>
      </c>
      <c r="S11" s="11" t="inlineStr">
        <is>
          <t>-</t>
        </is>
      </c>
      <c r="T11" s="11" t="inlineStr">
        <is>
          <t>-</t>
        </is>
      </c>
      <c r="U11" s="11" t="inlineStr">
        <is>
          <t>No</t>
        </is>
      </c>
      <c r="V11" s="11" t="inlineStr">
        <is>
          <t>Yes</t>
        </is>
      </c>
      <c r="W11" s="11" t="inlineStr">
        <is>
          <t>Yes</t>
        </is>
      </c>
    </row>
    <row r="12" ht="107" customHeight="1">
      <c r="A12" s="7" t="inlineStr">
        <is>
          <t>TC-FALERT-04</t>
        </is>
      </c>
      <c r="B12" s="7" t="inlineStr">
        <is>
          <t>Kiểm tra request kế tiếp sau thu hồi quyền [list-sharing_off]</t>
        </is>
      </c>
      <c r="C12" s="8" t="inlineStr">
        <is>
          <t>Supabase local đã reset, API dùng api_role; dữ liệu test synthetic độc lập. Không dùng DB deploy.</t>
        </is>
      </c>
      <c r="D12"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2" s="8" t="inlineStr">
        <is>
          <t>list-sharing_off</t>
        </is>
      </c>
      <c r="F12" s="8" t="inlineStr">
        <is>
          <t>List 200 items=[] total=0 unread_count=0; detail/PATCH 403 khong_co_quyen; có denied; is_read không đổi.</t>
        </is>
      </c>
      <c r="G12" s="8" t="inlineStr">
        <is>
          <t>Đã chạy tự động: các kiểm tra response và DB nêu ở Expected Result đều pass.</t>
        </is>
      </c>
      <c r="H12" s="7" t="inlineStr">
        <is>
          <t>Pass</t>
        </is>
      </c>
      <c r="I12" s="8" t="inlineStr">
        <is>
          <t>AC5 · Decision Table (R3) · test_revocation_next_request_filters_counts_or_denies_and_audits__AC5[list-sharing_off] · evidence/test-task-integration-final.log</t>
        </is>
      </c>
      <c r="Q12" s="10" t="inlineStr">
        <is>
          <t>family_sharing còn hiệu lực?</t>
        </is>
      </c>
      <c r="R12" s="11" t="inlineStr">
        <is>
          <t>Yes</t>
        </is>
      </c>
      <c r="S12" s="11" t="inlineStr">
        <is>
          <t>-</t>
        </is>
      </c>
      <c r="T12" s="11" t="inlineStr">
        <is>
          <t>-</t>
        </is>
      </c>
      <c r="U12" s="11" t="inlineStr">
        <is>
          <t>-</t>
        </is>
      </c>
      <c r="V12" s="11" t="inlineStr">
        <is>
          <t>No</t>
        </is>
      </c>
      <c r="W12" s="11" t="inlineStr">
        <is>
          <t>Yes</t>
        </is>
      </c>
    </row>
    <row r="13" ht="107" customHeight="1">
      <c r="A13" s="7" t="inlineStr">
        <is>
          <t>TC-FALERT-05</t>
        </is>
      </c>
      <c r="B13" s="7" t="inlineStr">
        <is>
          <t>Kiểm tra request kế tiếp sau thu hồi quyền [list-health_data]</t>
        </is>
      </c>
      <c r="C13" s="8" t="inlineStr">
        <is>
          <t>Supabase local đã reset, API dùng api_role; dữ liệu test synthetic độc lập. Không dùng DB deploy.</t>
        </is>
      </c>
      <c r="D13"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3" s="8" t="inlineStr">
        <is>
          <t>list-health_data</t>
        </is>
      </c>
      <c r="F13" s="8" t="inlineStr">
        <is>
          <t>List 200 items=[] total=0 unread_count=0; detail/PATCH 403 khong_co_quyen; có denied; is_read không đổi.</t>
        </is>
      </c>
      <c r="G13" s="8" t="inlineStr">
        <is>
          <t>Đã chạy tự động: các kiểm tra response và DB nêu ở Expected Result đều pass.</t>
        </is>
      </c>
      <c r="H13" s="7" t="inlineStr">
        <is>
          <t>Pass</t>
        </is>
      </c>
      <c r="I13" s="8" t="inlineStr">
        <is>
          <t>AC5 · Decision Table (R4) · test_revocation_next_request_filters_counts_or_denies_and_audits__AC5[list-health_data] · evidence/test-task-integration-final.log</t>
        </is>
      </c>
      <c r="Q13" s="10" t="inlineStr">
        <is>
          <t>Facts/audit/commit thành công?</t>
        </is>
      </c>
      <c r="R13" s="11" t="inlineStr">
        <is>
          <t>Yes</t>
        </is>
      </c>
      <c r="S13" s="11" t="inlineStr">
        <is>
          <t>Yes</t>
        </is>
      </c>
      <c r="T13" s="11" t="inlineStr">
        <is>
          <t>Yes</t>
        </is>
      </c>
      <c r="U13" s="11" t="inlineStr">
        <is>
          <t>Yes</t>
        </is>
      </c>
      <c r="V13" s="11" t="inlineStr">
        <is>
          <t>Yes</t>
        </is>
      </c>
      <c r="W13" s="11" t="inlineStr">
        <is>
          <t>No</t>
        </is>
      </c>
    </row>
    <row r="14" ht="107" customHeight="1">
      <c r="A14" s="7" t="inlineStr">
        <is>
          <t>TC-FALERT-06</t>
        </is>
      </c>
      <c r="B14" s="7" t="inlineStr">
        <is>
          <t>Kiểm tra request kế tiếp sau thu hồi quyền [list-family_sharing]</t>
        </is>
      </c>
      <c r="C14" s="8" t="inlineStr">
        <is>
          <t>Supabase local đã reset, API dùng api_role; dữ liệu test synthetic độc lập. Không dùng DB deploy.</t>
        </is>
      </c>
      <c r="D14"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4" s="8" t="inlineStr">
        <is>
          <t>list-family_sharing</t>
        </is>
      </c>
      <c r="F14" s="8" t="inlineStr">
        <is>
          <t>List 200 items=[] total=0 unread_count=0; detail/PATCH 403 khong_co_quyen; có denied; is_read không đổi.</t>
        </is>
      </c>
      <c r="G14" s="8" t="inlineStr">
        <is>
          <t>Đã chạy tự động: các kiểm tra response và DB nêu ở Expected Result đều pass.</t>
        </is>
      </c>
      <c r="H14" s="7" t="inlineStr">
        <is>
          <t>Pass</t>
        </is>
      </c>
      <c r="I14" s="8" t="inlineStr">
        <is>
          <t>AC5 · Decision Table (R5) · test_revocation_next_request_filters_counts_or_denies_and_audits__AC5[list-family_sharing] · evidence/test-task-integration-final.log</t>
        </is>
      </c>
      <c r="Q14" s="6" t="inlineStr">
        <is>
          <t>Action</t>
        </is>
      </c>
      <c r="R14" s="5" t="inlineStr">
        <is>
          <t>R1</t>
        </is>
      </c>
      <c r="S14" s="5" t="inlineStr">
        <is>
          <t>R2</t>
        </is>
      </c>
      <c r="T14" s="5" t="inlineStr">
        <is>
          <t>R3</t>
        </is>
      </c>
      <c r="U14" s="5" t="inlineStr">
        <is>
          <t>R4</t>
        </is>
      </c>
      <c r="V14" s="5" t="inlineStr">
        <is>
          <t>R5</t>
        </is>
      </c>
      <c r="W14" s="5" t="inlineStr">
        <is>
          <t>R6</t>
        </is>
      </c>
    </row>
    <row r="15" ht="107" customHeight="1">
      <c r="A15" s="7" t="inlineStr">
        <is>
          <t>TC-FALERT-07</t>
        </is>
      </c>
      <c r="B15" s="7" t="inlineStr">
        <is>
          <t>Kiểm tra request kế tiếp sau thu hồi quyền [detail-unlinked]</t>
        </is>
      </c>
      <c r="C15" s="8" t="inlineStr">
        <is>
          <t>Supabase local đã reset, API dùng api_role; dữ liệu test synthetic độc lập. Không dùng DB deploy.</t>
        </is>
      </c>
      <c r="D15"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5" s="8" t="inlineStr">
        <is>
          <t>detail-unlinked</t>
        </is>
      </c>
      <c r="F15" s="8" t="inlineStr">
        <is>
          <t>List 200 items=[] total=0 unread_count=0; detail/PATCH 403 khong_co_quyen; có denied; is_read không đổi.</t>
        </is>
      </c>
      <c r="G15" s="8" t="inlineStr">
        <is>
          <t>Đã chạy tự động: các kiểm tra response và DB nêu ở Expected Result đều pass.</t>
        </is>
      </c>
      <c r="H15" s="7" t="inlineStr">
        <is>
          <t>Pass</t>
        </is>
      </c>
      <c r="I15" s="8" t="inlineStr">
        <is>
          <t>AC5 · Decision Table (R2) · test_revocation_next_request_filters_counts_or_denies_and_audits__AC5[detail-unlinked] · evidence/test-task-integration-final.log</t>
        </is>
      </c>
      <c r="Q15" s="10" t="inlineStr">
        <is>
          <t>200 và allowed</t>
        </is>
      </c>
      <c r="R15" s="11" t="inlineStr">
        <is>
          <t>X</t>
        </is>
      </c>
      <c r="S15" s="11" t="inlineStr"/>
      <c r="T15" s="11" t="inlineStr"/>
      <c r="U15" s="11" t="inlineStr"/>
      <c r="V15" s="11" t="inlineStr"/>
      <c r="W15" s="11" t="inlineStr"/>
    </row>
    <row r="16" ht="107" customHeight="1">
      <c r="A16" s="7" t="inlineStr">
        <is>
          <t>TC-FALERT-08</t>
        </is>
      </c>
      <c r="B16" s="7" t="inlineStr">
        <is>
          <t>Kiểm tra request kế tiếp sau thu hồi quyền [detail-inactive]</t>
        </is>
      </c>
      <c r="C16" s="8" t="inlineStr">
        <is>
          <t>Supabase local đã reset, API dùng api_role; dữ liệu test synthetic độc lập. Không dùng DB deploy.</t>
        </is>
      </c>
      <c r="D16"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6" s="8" t="inlineStr">
        <is>
          <t>detail-inactive</t>
        </is>
      </c>
      <c r="F16" s="8" t="inlineStr">
        <is>
          <t>List 200 items=[] total=0 unread_count=0; detail/PATCH 403 khong_co_quyen; có denied; is_read không đổi.</t>
        </is>
      </c>
      <c r="G16" s="8" t="inlineStr">
        <is>
          <t>Đã chạy tự động: các kiểm tra response và DB nêu ở Expected Result đều pass.</t>
        </is>
      </c>
      <c r="H16" s="7" t="inlineStr">
        <is>
          <t>Pass</t>
        </is>
      </c>
      <c r="I16" s="8" t="inlineStr">
        <is>
          <t>AC5 · Decision Table (R2) · test_revocation_next_request_filters_counts_or_denies_and_audits__AC5[detail-inactive] · evidence/test-task-integration-final.log</t>
        </is>
      </c>
      <c r="Q16" s="10" t="inlineStr">
        <is>
          <t>List lọc/count 0; detail/PATCH 403; denied</t>
        </is>
      </c>
      <c r="R16" s="11" t="inlineStr"/>
      <c r="S16" s="11" t="inlineStr">
        <is>
          <t>X</t>
        </is>
      </c>
      <c r="T16" s="11" t="inlineStr">
        <is>
          <t>X</t>
        </is>
      </c>
      <c r="U16" s="11" t="inlineStr">
        <is>
          <t>X</t>
        </is>
      </c>
      <c r="V16" s="11" t="inlineStr">
        <is>
          <t>X</t>
        </is>
      </c>
      <c r="W16" s="11" t="inlineStr"/>
    </row>
    <row r="17" ht="107" customHeight="1">
      <c r="A17" s="7" t="inlineStr">
        <is>
          <t>TC-FALERT-09</t>
        </is>
      </c>
      <c r="B17" s="7" t="inlineStr">
        <is>
          <t>Kiểm tra request kế tiếp sau thu hồi quyền [detail-sharing_off]</t>
        </is>
      </c>
      <c r="C17" s="8" t="inlineStr">
        <is>
          <t>Supabase local đã reset, API dùng api_role; dữ liệu test synthetic độc lập. Không dùng DB deploy.</t>
        </is>
      </c>
      <c r="D17"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7" s="8" t="inlineStr">
        <is>
          <t>detail-sharing_off</t>
        </is>
      </c>
      <c r="F17" s="8" t="inlineStr">
        <is>
          <t>List 200 items=[] total=0 unread_count=0; detail/PATCH 403 khong_co_quyen; có denied; is_read không đổi.</t>
        </is>
      </c>
      <c r="G17" s="8" t="inlineStr">
        <is>
          <t>Đã chạy tự động: các kiểm tra response và DB nêu ở Expected Result đều pass.</t>
        </is>
      </c>
      <c r="H17" s="7" t="inlineStr">
        <is>
          <t>Pass</t>
        </is>
      </c>
      <c r="I17" s="8" t="inlineStr">
        <is>
          <t>AC5 · Decision Table (R3) · test_revocation_next_request_filters_counts_or_denies_and_audits__AC5[detail-sharing_off] · evidence/test-task-integration-final.log</t>
        </is>
      </c>
      <c r="Q17" s="10" t="inlineStr">
        <is>
          <t>503 không trả health hoặc đổi is_read</t>
        </is>
      </c>
      <c r="R17" s="11" t="inlineStr"/>
      <c r="S17" s="11" t="inlineStr"/>
      <c r="T17" s="11" t="inlineStr"/>
      <c r="U17" s="11" t="inlineStr"/>
      <c r="V17" s="11" t="inlineStr"/>
      <c r="W17" s="11" t="inlineStr">
        <is>
          <t>X</t>
        </is>
      </c>
    </row>
    <row r="18" ht="107" customHeight="1">
      <c r="A18" s="7" t="inlineStr">
        <is>
          <t>TC-FALERT-10</t>
        </is>
      </c>
      <c r="B18" s="7" t="inlineStr">
        <is>
          <t>Kiểm tra request kế tiếp sau thu hồi quyền [detail-health_data]</t>
        </is>
      </c>
      <c r="C18" s="8" t="inlineStr">
        <is>
          <t>Supabase local đã reset, API dùng api_role; dữ liệu test synthetic độc lập. Không dùng DB deploy.</t>
        </is>
      </c>
      <c r="D18"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8" s="8" t="inlineStr">
        <is>
          <t>detail-health_data</t>
        </is>
      </c>
      <c r="F18" s="8" t="inlineStr">
        <is>
          <t>List 200 items=[] total=0 unread_count=0; detail/PATCH 403 khong_co_quyen; có denied; is_read không đổi.</t>
        </is>
      </c>
      <c r="G18" s="8" t="inlineStr">
        <is>
          <t>Đã chạy tự động: các kiểm tra response và DB nêu ở Expected Result đều pass.</t>
        </is>
      </c>
      <c r="H18" s="7" t="inlineStr">
        <is>
          <t>Pass</t>
        </is>
      </c>
      <c r="I18" s="8" t="inlineStr">
        <is>
          <t>AC5 · Decision Table (R4) · test_revocation_next_request_filters_counts_or_denies_and_audits__AC5[detail-health_data] · evidence/test-task-integration-final.log</t>
        </is>
      </c>
    </row>
    <row r="19" ht="107" customHeight="1">
      <c r="A19" s="7" t="inlineStr">
        <is>
          <t>TC-FALERT-11</t>
        </is>
      </c>
      <c r="B19" s="7" t="inlineStr">
        <is>
          <t>Kiểm tra request kế tiếp sau thu hồi quyền [detail-family_sharing]</t>
        </is>
      </c>
      <c r="C19" s="8" t="inlineStr">
        <is>
          <t>Supabase local đã reset, API dùng api_role; dữ liệu test synthetic độc lập. Không dùng DB deploy.</t>
        </is>
      </c>
      <c r="D19"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19" s="8" t="inlineStr">
        <is>
          <t>detail-family_sharing</t>
        </is>
      </c>
      <c r="F19" s="8" t="inlineStr">
        <is>
          <t>List 200 items=[] total=0 unread_count=0; detail/PATCH 403 khong_co_quyen; có denied; is_read không đổi.</t>
        </is>
      </c>
      <c r="G19" s="8" t="inlineStr">
        <is>
          <t>Đã chạy tự động: các kiểm tra response và DB nêu ở Expected Result đều pass.</t>
        </is>
      </c>
      <c r="H19" s="7" t="inlineStr">
        <is>
          <t>Pass</t>
        </is>
      </c>
      <c r="I19" s="8" t="inlineStr">
        <is>
          <t>AC5 · Decision Table (R5) · test_revocation_next_request_filters_counts_or_denies_and_audits__AC5[detail-family_sharing] · evidence/test-task-integration-final.log</t>
        </is>
      </c>
    </row>
    <row r="20" ht="107" customHeight="1">
      <c r="A20" s="7" t="inlineStr">
        <is>
          <t>TC-FALERT-12</t>
        </is>
      </c>
      <c r="B20" s="7" t="inlineStr">
        <is>
          <t>Kiểm tra request kế tiếp sau thu hồi quyền [patch-unlinked]</t>
        </is>
      </c>
      <c r="C20" s="8" t="inlineStr">
        <is>
          <t>Supabase local đã reset, API dùng api_role; dữ liệu test synthetic độc lập. Không dùng DB deploy.</t>
        </is>
      </c>
      <c r="D20"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20" s="8" t="inlineStr">
        <is>
          <t>patch-unlinked</t>
        </is>
      </c>
      <c r="F20" s="8" t="inlineStr">
        <is>
          <t>List 200 items=[] total=0 unread_count=0; detail/PATCH 403 khong_co_quyen; có denied; is_read không đổi.</t>
        </is>
      </c>
      <c r="G20" s="8" t="inlineStr">
        <is>
          <t>Đã chạy tự động: các kiểm tra response và DB nêu ở Expected Result đều pass.</t>
        </is>
      </c>
      <c r="H20" s="7" t="inlineStr">
        <is>
          <t>Pass</t>
        </is>
      </c>
      <c r="I20" s="8" t="inlineStr">
        <is>
          <t>AC5 · Decision Table (R2) · test_revocation_next_request_filters_counts_or_denies_and_audits__AC5[patch-unlinked] · evidence/test-task-integration-final.log</t>
        </is>
      </c>
    </row>
    <row r="21" ht="107" customHeight="1">
      <c r="A21" s="7" t="inlineStr">
        <is>
          <t>TC-FALERT-13</t>
        </is>
      </c>
      <c r="B21" s="7" t="inlineStr">
        <is>
          <t>Kiểm tra request kế tiếp sau thu hồi quyền [patch-inactive]</t>
        </is>
      </c>
      <c r="C21" s="8" t="inlineStr">
        <is>
          <t>Supabase local đã reset, API dùng api_role; dữ liệu test synthetic độc lập. Không dùng DB deploy.</t>
        </is>
      </c>
      <c r="D21"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21" s="8" t="inlineStr">
        <is>
          <t>patch-inactive</t>
        </is>
      </c>
      <c r="F21" s="8" t="inlineStr">
        <is>
          <t>List 200 items=[] total=0 unread_count=0; detail/PATCH 403 khong_co_quyen; có denied; is_read không đổi.</t>
        </is>
      </c>
      <c r="G21" s="8" t="inlineStr">
        <is>
          <t>Đã chạy tự động: các kiểm tra response và DB nêu ở Expected Result đều pass.</t>
        </is>
      </c>
      <c r="H21" s="7" t="inlineStr">
        <is>
          <t>Pass</t>
        </is>
      </c>
      <c r="I21" s="8" t="inlineStr">
        <is>
          <t>AC5 · Decision Table (R2) · test_revocation_next_request_filters_counts_or_denies_and_audits__AC5[patch-inactive] · evidence/test-task-integration-final.log</t>
        </is>
      </c>
    </row>
    <row r="22" ht="107" customHeight="1">
      <c r="A22" s="7" t="inlineStr">
        <is>
          <t>TC-FALERT-14</t>
        </is>
      </c>
      <c r="B22" s="7" t="inlineStr">
        <is>
          <t>Kiểm tra request kế tiếp sau thu hồi quyền [patch-sharing_off]</t>
        </is>
      </c>
      <c r="C22" s="8" t="inlineStr">
        <is>
          <t>Supabase local đã reset, API dùng api_role; dữ liệu test synthetic độc lập. Không dùng DB deploy.</t>
        </is>
      </c>
      <c r="D22"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22" s="8" t="inlineStr">
        <is>
          <t>patch-sharing_off</t>
        </is>
      </c>
      <c r="F22" s="8" t="inlineStr">
        <is>
          <t>List 200 items=[] total=0 unread_count=0; detail/PATCH 403 khong_co_quyen; có denied; is_read không đổi.</t>
        </is>
      </c>
      <c r="G22" s="8" t="inlineStr">
        <is>
          <t>Đã chạy tự động: các kiểm tra response và DB nêu ở Expected Result đều pass.</t>
        </is>
      </c>
      <c r="H22" s="7" t="inlineStr">
        <is>
          <t>Pass</t>
        </is>
      </c>
      <c r="I22" s="8" t="inlineStr">
        <is>
          <t>AC5 · Decision Table (R3) · test_revocation_next_request_filters_counts_or_denies_and_audits__AC5[patch-sharing_off] · evidence/test-task-integration-final.log</t>
        </is>
      </c>
    </row>
    <row r="23" ht="107" customHeight="1">
      <c r="A23" s="7" t="inlineStr">
        <is>
          <t>TC-FALERT-15</t>
        </is>
      </c>
      <c r="B23" s="7" t="inlineStr">
        <is>
          <t>Kiểm tra request kế tiếp sau thu hồi quyền [patch-health_data]</t>
        </is>
      </c>
      <c r="C23" s="8" t="inlineStr">
        <is>
          <t>Supabase local đã reset, API dùng api_role; dữ liệu test synthetic độc lập. Không dùng DB deploy.</t>
        </is>
      </c>
      <c r="D23"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23" s="8" t="inlineStr">
        <is>
          <t>patch-health_data</t>
        </is>
      </c>
      <c r="F23" s="8" t="inlineStr">
        <is>
          <t>List 200 items=[] total=0 unread_count=0; detail/PATCH 403 khong_co_quyen; có denied; is_read không đổi.</t>
        </is>
      </c>
      <c r="G23" s="8" t="inlineStr">
        <is>
          <t>Đã chạy tự động: các kiểm tra response và DB nêu ở Expected Result đều pass.</t>
        </is>
      </c>
      <c r="H23" s="7" t="inlineStr">
        <is>
          <t>Pass</t>
        </is>
      </c>
      <c r="I23" s="8" t="inlineStr">
        <is>
          <t>AC5 · Decision Table (R4) · test_revocation_next_request_filters_counts_or_denies_and_audits__AC5[patch-health_data] · evidence/test-task-integration-final.log</t>
        </is>
      </c>
    </row>
    <row r="24" ht="107" customHeight="1">
      <c r="A24" s="7" t="inlineStr">
        <is>
          <t>TC-FALERT-16</t>
        </is>
      </c>
      <c r="B24" s="7" t="inlineStr">
        <is>
          <t>Kiểm tra request kế tiếp sau thu hồi quyền [patch-family_sharing]</t>
        </is>
      </c>
      <c r="C24" s="8" t="inlineStr">
        <is>
          <t>Supabase local đã reset, API dùng api_role; dữ liệu test synthetic độc lập. Không dùng DB deploy.</t>
        </is>
      </c>
      <c r="D24" s="8" t="inlineStr">
        <is>
          <t>1. Đọc detail bằng session F hợp lệ, giữ nguyên bearer.
2. Dùng connection quản trị khác để thu hồi quyền theo biến thể trong Test Data.
3. Gọi list/detail/PATCH bằng bearer cũ theo biến thể; kiểm access_logs và is_read.</t>
        </is>
      </c>
      <c r="E24" s="8" t="inlineStr">
        <is>
          <t>patch-family_sharing</t>
        </is>
      </c>
      <c r="F24" s="8" t="inlineStr">
        <is>
          <t>List 200 items=[] total=0 unread_count=0; detail/PATCH 403 khong_co_quyen; có denied; is_read không đổi.</t>
        </is>
      </c>
      <c r="G24" s="8" t="inlineStr">
        <is>
          <t>Đã chạy tự động: các kiểm tra response và DB nêu ở Expected Result đều pass.</t>
        </is>
      </c>
      <c r="H24" s="7" t="inlineStr">
        <is>
          <t>Pass</t>
        </is>
      </c>
      <c r="I24" s="8" t="inlineStr">
        <is>
          <t>AC5 · Decision Table (R5) · test_revocation_next_request_filters_counts_or_denies_and_audits__AC5[patch-family_sharing] · evidence/test-task-integration-final.log</t>
        </is>
      </c>
    </row>
    <row r="25" ht="107" customHeight="1">
      <c r="A25" s="7" t="inlineStr">
        <is>
          <t>TC-FALERT-17</t>
        </is>
      </c>
      <c r="B25" s="7" t="inlineStr">
        <is>
          <t>Từ chối ID thuộc hộp thư người khác [detail]</t>
        </is>
      </c>
      <c r="C25" s="8" t="inlineStr">
        <is>
          <t>Supabase local đã reset, API dùng api_role; dữ liệu test synthetic độc lập. Không dùng DB deploy.</t>
        </is>
      </c>
      <c r="D25" s="8" t="inlineStr">
        <is>
          <t>1. Tạo notification cho F/P; đăng nhập user X khác F.
2. GET hoặc PATCH /notifications/{id} theo biến thể bằng session X.
3. GET /notifications/9223372036854775807 bằng session F; kiểm audit của P.</t>
        </is>
      </c>
      <c r="E25" s="8" t="inlineStr">
        <is>
          <t>detail</t>
        </is>
      </c>
      <c r="F25" s="8" t="inlineStr">
        <is>
          <t>Cả ID khác hộp thư và ID không tồn tại trả 404 notification_not_found; không audit hoặc đọc health của P.</t>
        </is>
      </c>
      <c r="G25" s="8" t="inlineStr">
        <is>
          <t>Đã chạy tự động: các kiểm tra response và DB nêu ở Expected Result đều pass.</t>
        </is>
      </c>
      <c r="H25" s="7" t="inlineStr">
        <is>
          <t>Pass</t>
        </is>
      </c>
      <c r="I25" s="8" t="inlineStr">
        <is>
          <t>AC5 · đoán lỗi, chuyển trạng thái và bảo mật · test_other_recipient_and_unknown_id_return_404__AC5[detail] · evidence/test-task-integration-final.log</t>
        </is>
      </c>
    </row>
    <row r="26" ht="107" customHeight="1">
      <c r="A26" s="7" t="inlineStr">
        <is>
          <t>TC-FALERT-18</t>
        </is>
      </c>
      <c r="B26" s="7" t="inlineStr">
        <is>
          <t>Từ chối ID thuộc hộp thư người khác [patch]</t>
        </is>
      </c>
      <c r="C26" s="8" t="inlineStr">
        <is>
          <t>Supabase local đã reset, API dùng api_role; dữ liệu test synthetic độc lập. Không dùng DB deploy.</t>
        </is>
      </c>
      <c r="D26" s="8" t="inlineStr">
        <is>
          <t>1. Tạo notification cho F/P; đăng nhập user X khác F.
2. GET hoặc PATCH /notifications/{id} theo biến thể bằng session X.
3. GET /notifications/9223372036854775807 bằng session F; kiểm audit của P.</t>
        </is>
      </c>
      <c r="E26" s="8" t="inlineStr">
        <is>
          <t>patch</t>
        </is>
      </c>
      <c r="F26" s="8" t="inlineStr">
        <is>
          <t>Cả ID khác hộp thư và ID không tồn tại trả 404 notification_not_found; không audit hoặc đọc health của P.</t>
        </is>
      </c>
      <c r="G26" s="8" t="inlineStr">
        <is>
          <t>Đã chạy tự động: các kiểm tra response và DB nêu ở Expected Result đều pass.</t>
        </is>
      </c>
      <c r="H26" s="7" t="inlineStr">
        <is>
          <t>Pass</t>
        </is>
      </c>
      <c r="I26" s="8" t="inlineStr">
        <is>
          <t>AC5 · đoán lỗi, chuyển trạng thái và bảo mật · test_other_recipient_and_unknown_id_return_404__AC5[patch] · evidence/test-task-integration-final.log</t>
        </is>
      </c>
    </row>
    <row r="27" ht="107" customHeight="1">
      <c r="A27" s="7" t="inlineStr">
        <is>
          <t>TC-FALERT-19</t>
        </is>
      </c>
      <c r="B27" s="7" t="inlineStr">
        <is>
          <t>Lọc hộp thư mixed patient và từ chối patient_id trong PATCH</t>
        </is>
      </c>
      <c r="C27" s="8" t="inlineStr">
        <is>
          <t>Supabase local đã reset, API dùng api_role; dữ liệu test synthetic độc lập. Không dùng DB deploy.</t>
        </is>
      </c>
      <c r="D27" s="8" t="inlineStr">
        <is>
          <t>1. Tạo hai notification cho F: P được phép và Q không có liên kết.
2. GET /notifications?patient_id=P&amp;user_id=Q; kiểm item và count.
3. PATCH notification Q với JSON {is_read:true,patient_id:P}.</t>
        </is>
      </c>
      <c r="E27" s="8" t="inlineStr">
        <is>
          <t>P/F là UUID synthetic mới mỗi lần; ID notification lấy từ DB fixture; giờ 2026-10-20T01:00:00Z.</t>
        </is>
      </c>
      <c r="F27" s="8" t="inlineStr">
        <is>
          <t>List chỉ trả P, total=unread_count=1 và Q có denied; PATCH field lạ phải trả 422.</t>
        </is>
      </c>
      <c r="G27" s="8" t="inlineStr">
        <is>
          <t>HTTP 503 notification_access_unavailable thay vì 422; assertion fail.</t>
        </is>
      </c>
      <c r="H27" s="7" t="inlineStr">
        <is>
          <t>Fail</t>
        </is>
      </c>
      <c r="I27" s="8" t="inlineStr">
        <is>
          <t>AC3, AC5 · đoán lỗi, chuyển trạng thái và bảo mật · test_mixed_patient_filter_and_selector_tamper_do_not_leak__AC3_AC5 · evidence/test-task-integration-final.log</t>
        </is>
      </c>
    </row>
    <row r="28" ht="90.5" customHeight="1">
      <c r="A28" s="7" t="inlineStr">
        <is>
          <t>TC-FALERT-20</t>
        </is>
      </c>
      <c r="B28" s="7" t="inlineStr">
        <is>
          <t>Từ chối admin truy cập hộp thư người dùng [list]</t>
        </is>
      </c>
      <c r="C28" s="8" t="inlineStr">
        <is>
          <t>Supabase local đã reset, API dùng api_role; dữ liệu test synthetic độc lập. Không dùng DB deploy.</t>
        </is>
      </c>
      <c r="D28" s="8" t="inlineStr">
        <is>
          <t>1. Đăng nhập admin bằng app session admin_web.
2. Gọi list/detail/PATCH theo biến thể vào notification của F.</t>
        </is>
      </c>
      <c r="E28" s="8" t="inlineStr">
        <is>
          <t>list</t>
        </is>
      </c>
      <c r="F28" s="8" t="inlineStr">
        <is>
          <t>403 khong_co_quyen, không trả dữ liệu sức khỏe.</t>
        </is>
      </c>
      <c r="G28" s="8" t="inlineStr">
        <is>
          <t>Đã chạy tự động: các kiểm tra response và DB nêu ở Expected Result đều pass.</t>
        </is>
      </c>
      <c r="H28" s="7" t="inlineStr">
        <is>
          <t>Pass</t>
        </is>
      </c>
      <c r="I28" s="8" t="inlineStr">
        <is>
          <t>AC5 · đoán lỗi, chuyển trạng thái và bảo mật · test_admin_session_forbidden__AC5[list] · evidence/test-task-integration-final.log</t>
        </is>
      </c>
    </row>
    <row r="29" ht="90.5" customHeight="1">
      <c r="A29" s="7" t="inlineStr">
        <is>
          <t>TC-FALERT-21</t>
        </is>
      </c>
      <c r="B29" s="7" t="inlineStr">
        <is>
          <t>Từ chối admin truy cập hộp thư người dùng [detail]</t>
        </is>
      </c>
      <c r="C29" s="8" t="inlineStr">
        <is>
          <t>Supabase local đã reset, API dùng api_role; dữ liệu test synthetic độc lập. Không dùng DB deploy.</t>
        </is>
      </c>
      <c r="D29" s="8" t="inlineStr">
        <is>
          <t>1. Đăng nhập admin bằng app session admin_web.
2. Gọi list/detail/PATCH theo biến thể vào notification của F.</t>
        </is>
      </c>
      <c r="E29" s="8" t="inlineStr">
        <is>
          <t>detail</t>
        </is>
      </c>
      <c r="F29" s="8" t="inlineStr">
        <is>
          <t>403 khong_co_quyen, không trả dữ liệu sức khỏe.</t>
        </is>
      </c>
      <c r="G29" s="8" t="inlineStr">
        <is>
          <t>Đã chạy tự động: các kiểm tra response và DB nêu ở Expected Result đều pass.</t>
        </is>
      </c>
      <c r="H29" s="7" t="inlineStr">
        <is>
          <t>Pass</t>
        </is>
      </c>
      <c r="I29" s="8" t="inlineStr">
        <is>
          <t>AC5 · đoán lỗi, chuyển trạng thái và bảo mật · test_admin_session_forbidden__AC5[detail] · evidence/test-task-integration-final.log</t>
        </is>
      </c>
    </row>
    <row r="30" ht="90.5" customHeight="1">
      <c r="A30" s="7" t="inlineStr">
        <is>
          <t>TC-FALERT-22</t>
        </is>
      </c>
      <c r="B30" s="7" t="inlineStr">
        <is>
          <t>Từ chối admin truy cập hộp thư người dùng [patch]</t>
        </is>
      </c>
      <c r="C30" s="8" t="inlineStr">
        <is>
          <t>Supabase local đã reset, API dùng api_role; dữ liệu test synthetic độc lập. Không dùng DB deploy.</t>
        </is>
      </c>
      <c r="D30" s="8" t="inlineStr">
        <is>
          <t>1. Đăng nhập admin bằng app session admin_web.
2. Gọi list/detail/PATCH theo biến thể vào notification của F.</t>
        </is>
      </c>
      <c r="E30" s="8" t="inlineStr">
        <is>
          <t>patch</t>
        </is>
      </c>
      <c r="F30" s="8" t="inlineStr">
        <is>
          <t>403 khong_co_quyen, không trả dữ liệu sức khỏe.</t>
        </is>
      </c>
      <c r="G30" s="8" t="inlineStr">
        <is>
          <t>Đã chạy tự động: các kiểm tra response và DB nêu ở Expected Result đều pass.</t>
        </is>
      </c>
      <c r="H30" s="7" t="inlineStr">
        <is>
          <t>Pass</t>
        </is>
      </c>
      <c r="I30" s="8" t="inlineStr">
        <is>
          <t>AC5 · đoán lỗi, chuyển trạng thái và bảo mật · test_admin_session_forbidden__AC5[patch] · evidence/test-task-integration-final.log</t>
        </is>
      </c>
    </row>
    <row r="31" ht="123.5" customHeight="1">
      <c r="A31" s="7" t="inlineStr">
        <is>
          <t>TC-FALERT-23</t>
        </is>
      </c>
      <c r="B31" s="7" t="inlineStr">
        <is>
          <t>Fail-closed khi facts, audit hoặc commit lỗi [facts-list]</t>
        </is>
      </c>
      <c r="C31" s="8" t="inlineStr">
        <is>
          <t>Supabase local đã reset, API dùng api_role; dữ liệu test synthetic độc lập. Không dùng DB deploy.</t>
        </is>
      </c>
      <c r="D31"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1" s="8" t="inlineStr">
        <is>
          <t>facts-list</t>
        </is>
      </c>
      <c r="F31" s="8" t="inlineStr">
        <is>
          <t>503 notification_access_unavailable + Cache-Control:no-store; không health, không audit dang dở, is_read vẫn false.</t>
        </is>
      </c>
      <c r="G31" s="8" t="inlineStr">
        <is>
          <t>Đã chạy tự động: các kiểm tra response và DB nêu ở Expected Result đều pass.</t>
        </is>
      </c>
      <c r="H31" s="7" t="inlineStr">
        <is>
          <t>Pass</t>
        </is>
      </c>
      <c r="I31" s="8" t="inlineStr">
        <is>
          <t>AC5 · Decision Table (R6) · test_access_audit_commit_failure_returns_503_without_health_or_write__AC5[facts-list] · evidence/test-task-integration-final.log</t>
        </is>
      </c>
    </row>
    <row r="32" ht="123.5" customHeight="1">
      <c r="A32" s="7" t="inlineStr">
        <is>
          <t>TC-FALERT-24</t>
        </is>
      </c>
      <c r="B32" s="7" t="inlineStr">
        <is>
          <t>Fail-closed khi facts, audit hoặc commit lỗi [facts-detail]</t>
        </is>
      </c>
      <c r="C32" s="8" t="inlineStr">
        <is>
          <t>Supabase local đã reset, API dùng api_role; dữ liệu test synthetic độc lập. Không dùng DB deploy.</t>
        </is>
      </c>
      <c r="D32"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2" s="8" t="inlineStr">
        <is>
          <t>facts-detail</t>
        </is>
      </c>
      <c r="F32" s="8" t="inlineStr">
        <is>
          <t>503 notification_access_unavailable + Cache-Control:no-store; không health, không audit dang dở, is_read vẫn false.</t>
        </is>
      </c>
      <c r="G32" s="8" t="inlineStr">
        <is>
          <t>Đã chạy tự động: các kiểm tra response và DB nêu ở Expected Result đều pass.</t>
        </is>
      </c>
      <c r="H32" s="7" t="inlineStr">
        <is>
          <t>Pass</t>
        </is>
      </c>
      <c r="I32" s="8" t="inlineStr">
        <is>
          <t>AC5 · Decision Table (R6) · test_access_audit_commit_failure_returns_503_without_health_or_write__AC5[facts-detail] · evidence/test-task-integration-final.log</t>
        </is>
      </c>
    </row>
    <row r="33" ht="123.5" customHeight="1">
      <c r="A33" s="7" t="inlineStr">
        <is>
          <t>TC-FALERT-25</t>
        </is>
      </c>
      <c r="B33" s="7" t="inlineStr">
        <is>
          <t>Fail-closed khi facts, audit hoặc commit lỗi [facts-patch]</t>
        </is>
      </c>
      <c r="C33" s="8" t="inlineStr">
        <is>
          <t>Supabase local đã reset, API dùng api_role; dữ liệu test synthetic độc lập. Không dùng DB deploy.</t>
        </is>
      </c>
      <c r="D33"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3" s="8" t="inlineStr">
        <is>
          <t>facts-patch</t>
        </is>
      </c>
      <c r="F33" s="8" t="inlineStr">
        <is>
          <t>503 notification_access_unavailable + Cache-Control:no-store; không health, không audit dang dở, is_read vẫn false.</t>
        </is>
      </c>
      <c r="G33" s="8" t="inlineStr">
        <is>
          <t>Đã chạy tự động: các kiểm tra response và DB nêu ở Expected Result đều pass.</t>
        </is>
      </c>
      <c r="H33" s="7" t="inlineStr">
        <is>
          <t>Pass</t>
        </is>
      </c>
      <c r="I33" s="8" t="inlineStr">
        <is>
          <t>AC5 · Decision Table (R6) · test_access_audit_commit_failure_returns_503_without_health_or_write__AC5[facts-patch] · evidence/test-task-integration-final.log</t>
        </is>
      </c>
    </row>
    <row r="34" ht="123.5" customHeight="1">
      <c r="A34" s="7" t="inlineStr">
        <is>
          <t>TC-FALERT-26</t>
        </is>
      </c>
      <c r="B34" s="7" t="inlineStr">
        <is>
          <t>Fail-closed khi facts, audit hoặc commit lỗi [allowed_insert-list]</t>
        </is>
      </c>
      <c r="C34" s="8" t="inlineStr">
        <is>
          <t>Supabase local đã reset, API dùng api_role; dữ liệu test synthetic độc lập. Không dùng DB deploy.</t>
        </is>
      </c>
      <c r="D34"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4" s="8" t="inlineStr">
        <is>
          <t>allowed_insert-list</t>
        </is>
      </c>
      <c r="F34" s="8" t="inlineStr">
        <is>
          <t>503 notification_access_unavailable + Cache-Control:no-store; không health, không audit dang dở, is_read vẫn false.</t>
        </is>
      </c>
      <c r="G34" s="8" t="inlineStr">
        <is>
          <t>Đã chạy tự động: các kiểm tra response và DB nêu ở Expected Result đều pass.</t>
        </is>
      </c>
      <c r="H34" s="7" t="inlineStr">
        <is>
          <t>Pass</t>
        </is>
      </c>
      <c r="I34" s="8" t="inlineStr">
        <is>
          <t>AC5 · Decision Table (R6) · test_access_audit_commit_failure_returns_503_without_health_or_write__AC5[allowed_insert-list] · evidence/test-task-integration-final.log</t>
        </is>
      </c>
    </row>
    <row r="35" ht="123.5" customHeight="1">
      <c r="A35" s="7" t="inlineStr">
        <is>
          <t>TC-FALERT-27</t>
        </is>
      </c>
      <c r="B35" s="7" t="inlineStr">
        <is>
          <t>Fail-closed khi facts, audit hoặc commit lỗi [allowed_insert-detail]</t>
        </is>
      </c>
      <c r="C35" s="8" t="inlineStr">
        <is>
          <t>Supabase local đã reset, API dùng api_role; dữ liệu test synthetic độc lập. Không dùng DB deploy.</t>
        </is>
      </c>
      <c r="D35"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5" s="8" t="inlineStr">
        <is>
          <t>allowed_insert-detail</t>
        </is>
      </c>
      <c r="F35" s="8" t="inlineStr">
        <is>
          <t>503 notification_access_unavailable + Cache-Control:no-store; không health, không audit dang dở, is_read vẫn false.</t>
        </is>
      </c>
      <c r="G35" s="8" t="inlineStr">
        <is>
          <t>Đã chạy tự động: các kiểm tra response và DB nêu ở Expected Result đều pass.</t>
        </is>
      </c>
      <c r="H35" s="7" t="inlineStr">
        <is>
          <t>Pass</t>
        </is>
      </c>
      <c r="I35" s="8" t="inlineStr">
        <is>
          <t>AC5 · Decision Table (R6) · test_access_audit_commit_failure_returns_503_without_health_or_write__AC5[allowed_insert-detail] · evidence/test-task-integration-final.log</t>
        </is>
      </c>
    </row>
    <row r="36" ht="123.5" customHeight="1">
      <c r="A36" s="7" t="inlineStr">
        <is>
          <t>TC-FALERT-28</t>
        </is>
      </c>
      <c r="B36" s="7" t="inlineStr">
        <is>
          <t>Fail-closed khi facts, audit hoặc commit lỗi [allowed_insert-patch]</t>
        </is>
      </c>
      <c r="C36" s="8" t="inlineStr">
        <is>
          <t>Supabase local đã reset, API dùng api_role; dữ liệu test synthetic độc lập. Không dùng DB deploy.</t>
        </is>
      </c>
      <c r="D36"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6" s="8" t="inlineStr">
        <is>
          <t>allowed_insert-patch</t>
        </is>
      </c>
      <c r="F36" s="8" t="inlineStr">
        <is>
          <t>503 notification_access_unavailable + Cache-Control:no-store; không health, không audit dang dở, is_read vẫn false.</t>
        </is>
      </c>
      <c r="G36" s="8" t="inlineStr">
        <is>
          <t>Đã chạy tự động: các kiểm tra response và DB nêu ở Expected Result đều pass.</t>
        </is>
      </c>
      <c r="H36" s="7" t="inlineStr">
        <is>
          <t>Pass</t>
        </is>
      </c>
      <c r="I36" s="8" t="inlineStr">
        <is>
          <t>AC5 · Decision Table (R6) · test_access_audit_commit_failure_returns_503_without_health_or_write__AC5[allowed_insert-patch] · evidence/test-task-integration-final.log</t>
        </is>
      </c>
    </row>
    <row r="37" ht="123.5" customHeight="1">
      <c r="A37" s="7" t="inlineStr">
        <is>
          <t>TC-FALERT-29</t>
        </is>
      </c>
      <c r="B37" s="7" t="inlineStr">
        <is>
          <t>Fail-closed khi facts, audit hoặc commit lỗi [denied_insert-list]</t>
        </is>
      </c>
      <c r="C37" s="8" t="inlineStr">
        <is>
          <t>Supabase local đã reset, API dùng api_role; dữ liệu test synthetic độc lập. Không dùng DB deploy.</t>
        </is>
      </c>
      <c r="D37"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7" s="8" t="inlineStr">
        <is>
          <t>denied_insert-list</t>
        </is>
      </c>
      <c r="F37" s="8" t="inlineStr">
        <is>
          <t>503 notification_access_unavailable + Cache-Control:no-store; không health, không audit dang dở, is_read vẫn false.</t>
        </is>
      </c>
      <c r="G37" s="8" t="inlineStr">
        <is>
          <t>Đã chạy tự động: các kiểm tra response và DB nêu ở Expected Result đều pass.</t>
        </is>
      </c>
      <c r="H37" s="7" t="inlineStr">
        <is>
          <t>Pass</t>
        </is>
      </c>
      <c r="I37" s="8" t="inlineStr">
        <is>
          <t>AC5 · Decision Table (R6) · test_access_audit_commit_failure_returns_503_without_health_or_write__AC5[denied_insert-list] · evidence/test-task-integration-final.log</t>
        </is>
      </c>
    </row>
    <row r="38" ht="123.5" customHeight="1">
      <c r="A38" s="7" t="inlineStr">
        <is>
          <t>TC-FALERT-30</t>
        </is>
      </c>
      <c r="B38" s="7" t="inlineStr">
        <is>
          <t>Fail-closed khi facts, audit hoặc commit lỗi [denied_insert-detail]</t>
        </is>
      </c>
      <c r="C38" s="8" t="inlineStr">
        <is>
          <t>Supabase local đã reset, API dùng api_role; dữ liệu test synthetic độc lập. Không dùng DB deploy.</t>
        </is>
      </c>
      <c r="D38"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8" s="8" t="inlineStr">
        <is>
          <t>denied_insert-detail</t>
        </is>
      </c>
      <c r="F38" s="8" t="inlineStr">
        <is>
          <t>503 notification_access_unavailable + Cache-Control:no-store; không health, không audit dang dở, is_read vẫn false.</t>
        </is>
      </c>
      <c r="G38" s="8" t="inlineStr">
        <is>
          <t>Đã chạy tự động: các kiểm tra response và DB nêu ở Expected Result đều pass.</t>
        </is>
      </c>
      <c r="H38" s="7" t="inlineStr">
        <is>
          <t>Pass</t>
        </is>
      </c>
      <c r="I38" s="8" t="inlineStr">
        <is>
          <t>AC5 · Decision Table (R6) · test_access_audit_commit_failure_returns_503_without_health_or_write__AC5[denied_insert-detail] · evidence/test-task-integration-final.log</t>
        </is>
      </c>
    </row>
    <row r="39" ht="123.5" customHeight="1">
      <c r="A39" s="7" t="inlineStr">
        <is>
          <t>TC-FALERT-31</t>
        </is>
      </c>
      <c r="B39" s="7" t="inlineStr">
        <is>
          <t>Fail-closed khi facts, audit hoặc commit lỗi [denied_insert-patch]</t>
        </is>
      </c>
      <c r="C39" s="8" t="inlineStr">
        <is>
          <t>Supabase local đã reset, API dùng api_role; dữ liệu test synthetic độc lập. Không dùng DB deploy.</t>
        </is>
      </c>
      <c r="D39"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39" s="8" t="inlineStr">
        <is>
          <t>denied_insert-patch</t>
        </is>
      </c>
      <c r="F39" s="8" t="inlineStr">
        <is>
          <t>503 notification_access_unavailable + Cache-Control:no-store; không health, không audit dang dở, is_read vẫn false.</t>
        </is>
      </c>
      <c r="G39" s="8" t="inlineStr">
        <is>
          <t>Đã chạy tự động: các kiểm tra response và DB nêu ở Expected Result đều pass.</t>
        </is>
      </c>
      <c r="H39" s="7" t="inlineStr">
        <is>
          <t>Pass</t>
        </is>
      </c>
      <c r="I39" s="8" t="inlineStr">
        <is>
          <t>AC5 · Decision Table (R6) · test_access_audit_commit_failure_returns_503_without_health_or_write__AC5[denied_insert-patch] · evidence/test-task-integration-final.log</t>
        </is>
      </c>
    </row>
    <row r="40" ht="123.5" customHeight="1">
      <c r="A40" s="7" t="inlineStr">
        <is>
          <t>TC-FALERT-32</t>
        </is>
      </c>
      <c r="B40" s="7" t="inlineStr">
        <is>
          <t>Fail-closed khi facts, audit hoặc commit lỗi [commit-list]</t>
        </is>
      </c>
      <c r="C40" s="8" t="inlineStr">
        <is>
          <t>Supabase local đã reset, API dùng api_role; dữ liệu test synthetic độc lập. Không dùng DB deploy.</t>
        </is>
      </c>
      <c r="D40"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40" s="8" t="inlineStr">
        <is>
          <t>commit-list</t>
        </is>
      </c>
      <c r="F40" s="8" t="inlineStr">
        <is>
          <t>503 notification_access_unavailable + Cache-Control:no-store; không health, không audit dang dở, is_read vẫn false.</t>
        </is>
      </c>
      <c r="G40" s="8" t="inlineStr">
        <is>
          <t>Đã chạy tự động: các kiểm tra response và DB nêu ở Expected Result đều pass.</t>
        </is>
      </c>
      <c r="H40" s="7" t="inlineStr">
        <is>
          <t>Pass</t>
        </is>
      </c>
      <c r="I40" s="8" t="inlineStr">
        <is>
          <t>AC5 · Decision Table (R6) · test_access_audit_commit_failure_returns_503_without_health_or_write__AC5[commit-list] · evidence/test-task-integration-final.log</t>
        </is>
      </c>
    </row>
    <row r="41" ht="123.5" customHeight="1">
      <c r="A41" s="7" t="inlineStr">
        <is>
          <t>TC-FALERT-33</t>
        </is>
      </c>
      <c r="B41" s="7" t="inlineStr">
        <is>
          <t>Fail-closed khi facts, audit hoặc commit lỗi [commit-detail]</t>
        </is>
      </c>
      <c r="C41" s="8" t="inlineStr">
        <is>
          <t>Supabase local đã reset, API dùng api_role; dữ liệu test synthetic độc lập. Không dùng DB deploy.</t>
        </is>
      </c>
      <c r="D41"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41" s="8" t="inlineStr">
        <is>
          <t>commit-detail</t>
        </is>
      </c>
      <c r="F41" s="8" t="inlineStr">
        <is>
          <t>503 notification_access_unavailable + Cache-Control:no-store; không health, không audit dang dở, is_read vẫn false.</t>
        </is>
      </c>
      <c r="G41" s="8" t="inlineStr">
        <is>
          <t>Đã chạy tự động: các kiểm tra response và DB nêu ở Expected Result đều pass.</t>
        </is>
      </c>
      <c r="H41" s="7" t="inlineStr">
        <is>
          <t>Pass</t>
        </is>
      </c>
      <c r="I41" s="8" t="inlineStr">
        <is>
          <t>AC5 · Decision Table (R6) · test_access_audit_commit_failure_returns_503_without_health_or_write__AC5[commit-detail] · evidence/test-task-integration-final.log</t>
        </is>
      </c>
    </row>
    <row r="42" ht="123.5" customHeight="1">
      <c r="A42" s="7" t="inlineStr">
        <is>
          <t>TC-FALERT-34</t>
        </is>
      </c>
      <c r="B42" s="7" t="inlineStr">
        <is>
          <t>Fail-closed khi facts, audit hoặc commit lỗi [commit-patch]</t>
        </is>
      </c>
      <c r="C42" s="8" t="inlineStr">
        <is>
          <t>Supabase local đã reset, API dùng api_role; dữ liệu test synthetic độc lập. Không dùng DB deploy.</t>
        </is>
      </c>
      <c r="D42" s="8" t="inlineStr">
        <is>
          <t>1. Tạo notification chưa đọc cho F/P có quyền hợp lệ.
2. Inject lỗi DB ở facts, INSERT allowed/denied, hoặc commit như Test Data; trường hợp denied thì rút family_sharing trước.
3. Gọi list/detail/PATCH; bỏ injection rồi đọc access_logs và is_read bằng connection khác.</t>
        </is>
      </c>
      <c r="E42" s="8" t="inlineStr">
        <is>
          <t>commit-patch</t>
        </is>
      </c>
      <c r="F42" s="8" t="inlineStr">
        <is>
          <t>503 notification_access_unavailable + Cache-Control:no-store; không health, không audit dang dở, is_read vẫn false.</t>
        </is>
      </c>
      <c r="G42" s="8" t="inlineStr">
        <is>
          <t>Đã chạy tự động: các kiểm tra response và DB nêu ở Expected Result đều pass.</t>
        </is>
      </c>
      <c r="H42" s="7" t="inlineStr">
        <is>
          <t>Pass</t>
        </is>
      </c>
      <c r="I42" s="8" t="inlineStr">
        <is>
          <t>AC5 · Decision Table (R6) · test_access_audit_commit_failure_returns_503_without_health_or_write__AC5[commit-patch] · evidence/test-task-integration-final.log</t>
        </is>
      </c>
    </row>
    <row r="43" ht="107" customHeight="1">
      <c r="A43" s="7" t="inlineStr">
        <is>
          <t>TC-FALERT-35</t>
        </is>
      </c>
      <c r="B43" s="7" t="inlineStr">
        <is>
          <t>Giữ audit denied sau rollback request</t>
        </is>
      </c>
      <c r="C43" s="8" t="inlineStr">
        <is>
          <t>Supabase local đã reset, API dùng api_role; dữ liệu test synthetic độc lập. Không dùng DB deploy.</t>
        </is>
      </c>
      <c r="D43" s="8" t="inlineStr">
        <is>
          <t>1. Rút family_sharing của P sau khi tạo notification cho F.
2. Gọi service detail trong UoW thật để Forbidden thoát ra và rollback.
3. Dùng connection khác SELECT access_logs của P.</t>
        </is>
      </c>
      <c r="E43" s="8" t="inlineStr">
        <is>
          <t>P/F là UUID synthetic mới mỗi lần; ID notification lấy từ DB fixture; giờ 2026-10-20T01:00:00Z.</t>
        </is>
      </c>
      <c r="F43" s="8" t="inlineStr">
        <is>
          <t>Có đúng một denied dù transaction request đã rollback.</t>
        </is>
      </c>
      <c r="G43" s="8" t="inlineStr">
        <is>
          <t>Đã chạy tự động: các kiểm tra response và DB nêu ở Expected Result đều pass.</t>
        </is>
      </c>
      <c r="H43" s="7" t="inlineStr">
        <is>
          <t>Pass</t>
        </is>
      </c>
      <c r="I43" s="8" t="inlineStr">
        <is>
          <t>AC5 · đoán lỗi, chuyển trạng thái và bảo mật · test_denied_audit_survives_request_transaction_rollback__AC5 · evidence/test-task-integration-final.log</t>
        </is>
      </c>
    </row>
    <row r="44" ht="90.5" customHeight="1">
      <c r="A44" s="7" t="inlineStr">
        <is>
          <t>TC-FALERT-36</t>
        </is>
      </c>
      <c r="B44" s="7" t="inlineStr">
        <is>
          <t>Từ chối tham số phân trang ngoài biên [params0]</t>
        </is>
      </c>
      <c r="C44" s="8" t="inlineStr">
        <is>
          <t>Supabase local đã reset, API dùng api_role; dữ liệu test synthetic độc lập. Không dùng DB deploy.</t>
        </is>
      </c>
      <c r="D44" s="8" t="inlineStr">
        <is>
          <t>1. Đăng nhập F có notification và quyền hợp lệ.
2. GET /notifications với limit=0, limit=101 hoặc offset=-1 theo Test Data.
3. Kiểm HTTP status và Cache-Control.</t>
        </is>
      </c>
      <c r="E44" s="8" t="inlineStr">
        <is>
          <t>limit=0; offset=0</t>
        </is>
      </c>
      <c r="F44" s="8" t="inlineStr">
        <is>
          <t>422 validation, Cache-Control:no-store; không trả dữ liệu notification.</t>
        </is>
      </c>
      <c r="G44" s="8" t="inlineStr">
        <is>
          <t>HTTP 503 notification_access_unavailable thay vì 422; assertion fail.</t>
        </is>
      </c>
      <c r="H44" s="7" t="inlineStr">
        <is>
          <t>Fail</t>
        </is>
      </c>
      <c r="I44" s="8" t="inlineStr">
        <is>
          <t>AC3 · BVA (min-1), EP (3) · test_invalid_pagination_is_422_no_store__AC3[params0] · evidence/test-task-integration-final.log</t>
        </is>
      </c>
    </row>
    <row r="45" ht="90.5" customHeight="1">
      <c r="A45" s="7" t="inlineStr">
        <is>
          <t>TC-FALERT-37</t>
        </is>
      </c>
      <c r="B45" s="7" t="inlineStr">
        <is>
          <t>Từ chối tham số phân trang ngoài biên [params1]</t>
        </is>
      </c>
      <c r="C45" s="8" t="inlineStr">
        <is>
          <t>Supabase local đã reset, API dùng api_role; dữ liệu test synthetic độc lập. Không dùng DB deploy.</t>
        </is>
      </c>
      <c r="D45" s="8" t="inlineStr">
        <is>
          <t>1. Đăng nhập F có notification và quyền hợp lệ.
2. GET /notifications với limit=0, limit=101 hoặc offset=-1 theo Test Data.
3. Kiểm HTTP status và Cache-Control.</t>
        </is>
      </c>
      <c r="E45" s="8" t="inlineStr">
        <is>
          <t>limit=101; offset=0</t>
        </is>
      </c>
      <c r="F45" s="8" t="inlineStr">
        <is>
          <t>422 validation, Cache-Control:no-store; không trả dữ liệu notification.</t>
        </is>
      </c>
      <c r="G45" s="8" t="inlineStr">
        <is>
          <t>HTTP 503 notification_access_unavailable thay vì 422; assertion fail.</t>
        </is>
      </c>
      <c r="H45" s="7" t="inlineStr">
        <is>
          <t>Fail</t>
        </is>
      </c>
      <c r="I45" s="8" t="inlineStr">
        <is>
          <t>AC3 · BVA (max+1), EP (4) · test_invalid_pagination_is_422_no_store__AC3[params1] · evidence/test-task-integration-final.log</t>
        </is>
      </c>
    </row>
    <row r="46" ht="90.5" customHeight="1">
      <c r="A46" s="7" t="inlineStr">
        <is>
          <t>TC-FALERT-38</t>
        </is>
      </c>
      <c r="B46" s="7" t="inlineStr">
        <is>
          <t>Từ chối tham số phân trang ngoài biên [params2]</t>
        </is>
      </c>
      <c r="C46" s="8" t="inlineStr">
        <is>
          <t>Supabase local đã reset, API dùng api_role; dữ liệu test synthetic độc lập. Không dùng DB deploy.</t>
        </is>
      </c>
      <c r="D46" s="8" t="inlineStr">
        <is>
          <t>1. Đăng nhập F có notification và quyền hợp lệ.
2. GET /notifications với limit=0, limit=101 hoặc offset=-1 theo Test Data.
3. Kiểm HTTP status và Cache-Control.</t>
        </is>
      </c>
      <c r="E46" s="8" t="inlineStr">
        <is>
          <t>limit=20; offset=-1</t>
        </is>
      </c>
      <c r="F46" s="8" t="inlineStr">
        <is>
          <t>422 validation, Cache-Control:no-store; không trả dữ liệu notification.</t>
        </is>
      </c>
      <c r="G46" s="8" t="inlineStr">
        <is>
          <t>HTTP 503 notification_access_unavailable thay vì 422; assertion fail.</t>
        </is>
      </c>
      <c r="H46" s="7" t="inlineStr">
        <is>
          <t>Fail</t>
        </is>
      </c>
      <c r="I46" s="8" t="inlineStr">
        <is>
          <t>AC3 · BVA (min-1), EP (5) · test_invalid_pagination_is_422_no_store__AC3[params2] · evidence/test-task-integration-final.log</t>
        </is>
      </c>
    </row>
    <row r="47" ht="74" customHeight="1">
      <c r="A47" s="7" t="inlineStr">
        <is>
          <t>TC-FALERT-39</t>
        </is>
      </c>
      <c r="B47" s="7" t="inlineStr">
        <is>
          <t>Chấp nhận giới hạn phân trang tại biên [1]</t>
        </is>
      </c>
      <c r="C47" s="8" t="inlineStr">
        <is>
          <t>Supabase local đã reset, API dùng api_role; dữ liệu test synthetic độc lập. Không dùng DB deploy.</t>
        </is>
      </c>
      <c r="D47" s="8" t="inlineStr">
        <is>
          <t>1. Tạo một notification cho F.
2. GET /notifications?limit=&lt;Test Data&gt;&amp;offset=0 bằng session F.</t>
        </is>
      </c>
      <c r="E47" s="8" t="inlineStr">
        <is>
          <t>1</t>
        </is>
      </c>
      <c r="F47" s="8" t="inlineStr">
        <is>
          <t>200 và danh sách có đúng ID notification của F.</t>
        </is>
      </c>
      <c r="G47" s="8" t="inlineStr">
        <is>
          <t>Đã chạy tự động: các kiểm tra response và DB nêu ở Expected Result đều pass.</t>
        </is>
      </c>
      <c r="H47" s="7" t="inlineStr">
        <is>
          <t>Pass</t>
        </is>
      </c>
      <c r="I47" s="8" t="inlineStr">
        <is>
          <t>AC3 · BVA (min), EP (1,2) · test_valid_pagination_boundaries__AC3[1] · evidence/test-task-integration-final.log</t>
        </is>
      </c>
    </row>
    <row r="48" ht="74" customHeight="1">
      <c r="A48" s="7" t="inlineStr">
        <is>
          <t>TC-FALERT-40</t>
        </is>
      </c>
      <c r="B48" s="7" t="inlineStr">
        <is>
          <t>Chấp nhận giới hạn phân trang tại biên [100]</t>
        </is>
      </c>
      <c r="C48" s="8" t="inlineStr">
        <is>
          <t>Supabase local đã reset, API dùng api_role; dữ liệu test synthetic độc lập. Không dùng DB deploy.</t>
        </is>
      </c>
      <c r="D48" s="8" t="inlineStr">
        <is>
          <t>1. Tạo một notification cho F.
2. GET /notifications?limit=&lt;Test Data&gt;&amp;offset=0 bằng session F.</t>
        </is>
      </c>
      <c r="E48" s="8" t="inlineStr">
        <is>
          <t>100</t>
        </is>
      </c>
      <c r="F48" s="8" t="inlineStr">
        <is>
          <t>200 và danh sách có đúng ID notification của F.</t>
        </is>
      </c>
      <c r="G48" s="8" t="inlineStr">
        <is>
          <t>Đã chạy tự động: các kiểm tra response và DB nêu ở Expected Result đều pass.</t>
        </is>
      </c>
      <c r="H48" s="7" t="inlineStr">
        <is>
          <t>Pass</t>
        </is>
      </c>
      <c r="I48" s="8" t="inlineStr">
        <is>
          <t>AC3 · BVA (max), EP (1,2) · test_valid_pagination_boundaries__AC3[100] · evidence/test-task-integration-final.log</t>
        </is>
      </c>
    </row>
    <row r="49" ht="107" customHeight="1">
      <c r="A49" s="7" t="inlineStr">
        <is>
          <t>TC-FALERT-41</t>
        </is>
      </c>
      <c r="B49" s="7" t="inlineStr">
        <is>
          <t>Từ chối khi chưa có liên kết active [list-missing]</t>
        </is>
      </c>
      <c r="C49" s="8" t="inlineStr">
        <is>
          <t>Supabase local đã reset, API dùng api_role; dữ liệu test synthetic độc lập. Không dùng DB deploy.</t>
        </is>
      </c>
      <c r="D49" s="8" t="inlineStr">
        <is>
          <t>1. Tạo P có health_data và family_sharing nhưng F chưa có link hoặc link pending theo Test Data.
2. Tạo notification cũ cho F/P; gọi list/detail/PATCH bằng session F.
3. Kiểm access_logs theo P.</t>
        </is>
      </c>
      <c r="E49" s="8" t="inlineStr">
        <is>
          <t>list-missing</t>
        </is>
      </c>
      <c r="F49" s="8" t="inlineStr">
        <is>
          <t>List 200 rỗng/count 0 hoặc detail/PATCH 403; một denied cho P.</t>
        </is>
      </c>
      <c r="G49" s="8" t="inlineStr">
        <is>
          <t>Đã chạy tự động: các kiểm tra response và DB nêu ở Expected Result đều pass.</t>
        </is>
      </c>
      <c r="H49" s="7" t="inlineStr">
        <is>
          <t>Pass</t>
        </is>
      </c>
      <c r="I49" s="8" t="inlineStr">
        <is>
          <t>AC5 · Decision Table (R2) · test_initial_missing_or_pending_link_denied_with_audit__AC5[list-missing] · evidence/test-task-integration-final.log</t>
        </is>
      </c>
    </row>
    <row r="50" ht="107" customHeight="1">
      <c r="A50" s="7" t="inlineStr">
        <is>
          <t>TC-FALERT-42</t>
        </is>
      </c>
      <c r="B50" s="7" t="inlineStr">
        <is>
          <t>Từ chối khi chưa có liên kết active [list-pending]</t>
        </is>
      </c>
      <c r="C50" s="8" t="inlineStr">
        <is>
          <t>Supabase local đã reset, API dùng api_role; dữ liệu test synthetic độc lập. Không dùng DB deploy.</t>
        </is>
      </c>
      <c r="D50" s="8" t="inlineStr">
        <is>
          <t>1. Tạo P có health_data và family_sharing nhưng F chưa có link hoặc link pending theo Test Data.
2. Tạo notification cũ cho F/P; gọi list/detail/PATCH bằng session F.
3. Kiểm access_logs theo P.</t>
        </is>
      </c>
      <c r="E50" s="8" t="inlineStr">
        <is>
          <t>list-pending</t>
        </is>
      </c>
      <c r="F50" s="8" t="inlineStr">
        <is>
          <t>List 200 rỗng/count 0 hoặc detail/PATCH 403; một denied cho P.</t>
        </is>
      </c>
      <c r="G50" s="8" t="inlineStr">
        <is>
          <t>Đã chạy tự động: các kiểm tra response và DB nêu ở Expected Result đều pass.</t>
        </is>
      </c>
      <c r="H50" s="7" t="inlineStr">
        <is>
          <t>Pass</t>
        </is>
      </c>
      <c r="I50" s="8" t="inlineStr">
        <is>
          <t>AC5 · Decision Table (R2) · test_initial_missing_or_pending_link_denied_with_audit__AC5[list-pending] · evidence/test-task-integration-final.log</t>
        </is>
      </c>
    </row>
    <row r="51" ht="107" customHeight="1">
      <c r="A51" s="7" t="inlineStr">
        <is>
          <t>TC-FALERT-43</t>
        </is>
      </c>
      <c r="B51" s="7" t="inlineStr">
        <is>
          <t>Từ chối khi chưa có liên kết active [detail-missing]</t>
        </is>
      </c>
      <c r="C51" s="8" t="inlineStr">
        <is>
          <t>Supabase local đã reset, API dùng api_role; dữ liệu test synthetic độc lập. Không dùng DB deploy.</t>
        </is>
      </c>
      <c r="D51" s="8" t="inlineStr">
        <is>
          <t>1. Tạo P có health_data và family_sharing nhưng F chưa có link hoặc link pending theo Test Data.
2. Tạo notification cũ cho F/P; gọi list/detail/PATCH bằng session F.
3. Kiểm access_logs theo P.</t>
        </is>
      </c>
      <c r="E51" s="8" t="inlineStr">
        <is>
          <t>detail-missing</t>
        </is>
      </c>
      <c r="F51" s="8" t="inlineStr">
        <is>
          <t>List 200 rỗng/count 0 hoặc detail/PATCH 403; một denied cho P.</t>
        </is>
      </c>
      <c r="G51" s="8" t="inlineStr">
        <is>
          <t>Đã chạy tự động: các kiểm tra response và DB nêu ở Expected Result đều pass.</t>
        </is>
      </c>
      <c r="H51" s="7" t="inlineStr">
        <is>
          <t>Pass</t>
        </is>
      </c>
      <c r="I51" s="8" t="inlineStr">
        <is>
          <t>AC5 · Decision Table (R2) · test_initial_missing_or_pending_link_denied_with_audit__AC5[detail-missing] · evidence/test-task-integration-final.log</t>
        </is>
      </c>
    </row>
    <row r="52" ht="107" customHeight="1">
      <c r="A52" s="7" t="inlineStr">
        <is>
          <t>TC-FALERT-44</t>
        </is>
      </c>
      <c r="B52" s="7" t="inlineStr">
        <is>
          <t>Từ chối khi chưa có liên kết active [detail-pending]</t>
        </is>
      </c>
      <c r="C52" s="8" t="inlineStr">
        <is>
          <t>Supabase local đã reset, API dùng api_role; dữ liệu test synthetic độc lập. Không dùng DB deploy.</t>
        </is>
      </c>
      <c r="D52" s="8" t="inlineStr">
        <is>
          <t>1. Tạo P có health_data và family_sharing nhưng F chưa có link hoặc link pending theo Test Data.
2. Tạo notification cũ cho F/P; gọi list/detail/PATCH bằng session F.
3. Kiểm access_logs theo P.</t>
        </is>
      </c>
      <c r="E52" s="8" t="inlineStr">
        <is>
          <t>detail-pending</t>
        </is>
      </c>
      <c r="F52" s="8" t="inlineStr">
        <is>
          <t>List 200 rỗng/count 0 hoặc detail/PATCH 403; một denied cho P.</t>
        </is>
      </c>
      <c r="G52" s="8" t="inlineStr">
        <is>
          <t>Đã chạy tự động: các kiểm tra response và DB nêu ở Expected Result đều pass.</t>
        </is>
      </c>
      <c r="H52" s="7" t="inlineStr">
        <is>
          <t>Pass</t>
        </is>
      </c>
      <c r="I52" s="8" t="inlineStr">
        <is>
          <t>AC5 · Decision Table (R2) · test_initial_missing_or_pending_link_denied_with_audit__AC5[detail-pending] · evidence/test-task-integration-final.log</t>
        </is>
      </c>
    </row>
    <row r="53" ht="107" customHeight="1">
      <c r="A53" s="7" t="inlineStr">
        <is>
          <t>TC-FALERT-45</t>
        </is>
      </c>
      <c r="B53" s="7" t="inlineStr">
        <is>
          <t>Từ chối khi chưa có liên kết active [patch-missing]</t>
        </is>
      </c>
      <c r="C53" s="8" t="inlineStr">
        <is>
          <t>Supabase local đã reset, API dùng api_role; dữ liệu test synthetic độc lập. Không dùng DB deploy.</t>
        </is>
      </c>
      <c r="D53" s="8" t="inlineStr">
        <is>
          <t>1. Tạo P có health_data và family_sharing nhưng F chưa có link hoặc link pending theo Test Data.
2. Tạo notification cũ cho F/P; gọi list/detail/PATCH bằng session F.
3. Kiểm access_logs theo P.</t>
        </is>
      </c>
      <c r="E53" s="8" t="inlineStr">
        <is>
          <t>patch-missing</t>
        </is>
      </c>
      <c r="F53" s="8" t="inlineStr">
        <is>
          <t>List 200 rỗng/count 0 hoặc detail/PATCH 403; một denied cho P.</t>
        </is>
      </c>
      <c r="G53" s="8" t="inlineStr">
        <is>
          <t>Đã chạy tự động: các kiểm tra response và DB nêu ở Expected Result đều pass.</t>
        </is>
      </c>
      <c r="H53" s="7" t="inlineStr">
        <is>
          <t>Pass</t>
        </is>
      </c>
      <c r="I53" s="8" t="inlineStr">
        <is>
          <t>AC5 · Decision Table (R2) · test_initial_missing_or_pending_link_denied_with_audit__AC5[patch-missing] · evidence/test-task-integration-final.log</t>
        </is>
      </c>
    </row>
    <row r="54" ht="107" customHeight="1">
      <c r="A54" s="7" t="inlineStr">
        <is>
          <t>TC-FALERT-46</t>
        </is>
      </c>
      <c r="B54" s="7" t="inlineStr">
        <is>
          <t>Từ chối khi chưa có liên kết active [patch-pending]</t>
        </is>
      </c>
      <c r="C54" s="8" t="inlineStr">
        <is>
          <t>Supabase local đã reset, API dùng api_role; dữ liệu test synthetic độc lập. Không dùng DB deploy.</t>
        </is>
      </c>
      <c r="D54" s="8" t="inlineStr">
        <is>
          <t>1. Tạo P có health_data và family_sharing nhưng F chưa có link hoặc link pending theo Test Data.
2. Tạo notification cũ cho F/P; gọi list/detail/PATCH bằng session F.
3. Kiểm access_logs theo P.</t>
        </is>
      </c>
      <c r="E54" s="8" t="inlineStr">
        <is>
          <t>patch-pending</t>
        </is>
      </c>
      <c r="F54" s="8" t="inlineStr">
        <is>
          <t>List 200 rỗng/count 0 hoặc detail/PATCH 403; một denied cho P.</t>
        </is>
      </c>
      <c r="G54" s="8" t="inlineStr">
        <is>
          <t>Đã chạy tự động: các kiểm tra response và DB nêu ở Expected Result đều pass.</t>
        </is>
      </c>
      <c r="H54" s="7" t="inlineStr">
        <is>
          <t>Pass</t>
        </is>
      </c>
      <c r="I54" s="8" t="inlineStr">
        <is>
          <t>AC5 · Decision Table (R2) · test_initial_missing_or_pending_link_denied_with_audit__AC5[patch-pending] · evidence/test-task-integration-final.log</t>
        </is>
      </c>
    </row>
    <row r="55" ht="90.5" customHeight="1">
      <c r="A55" s="7" t="inlineStr">
        <is>
          <t>TC-FALERT-47</t>
        </is>
      </c>
      <c r="B55" s="7" t="inlineStr">
        <is>
          <t>Từ chối request notification thiếu session [list]</t>
        </is>
      </c>
      <c r="C55" s="8" t="inlineStr">
        <is>
          <t>Supabase local đã reset, API dùng api_role; dữ liệu test synthetic độc lập. Không dùng DB deploy.</t>
        </is>
      </c>
      <c r="D55" s="8" t="inlineStr">
        <is>
          <t>1. Tạo notification hợp lệ.
2. Gọi list/detail/PATCH theo Test Data không có Authorization.</t>
        </is>
      </c>
      <c r="E55" s="8" t="inlineStr">
        <is>
          <t>list</t>
        </is>
      </c>
      <c r="F55" s="8" t="inlineStr">
        <is>
          <t>401 và Cache-Control:no-store, không trả dữ liệu sức khỏe.</t>
        </is>
      </c>
      <c r="G55" s="8" t="inlineStr">
        <is>
          <t>Đã chạy tự động: các kiểm tra response và DB nêu ở Expected Result đều pass.</t>
        </is>
      </c>
      <c r="H55" s="7" t="inlineStr">
        <is>
          <t>Pass</t>
        </is>
      </c>
      <c r="I55" s="8" t="inlineStr">
        <is>
          <t>AC5 · đoán lỗi, chuyển trạng thái và bảo mật · test_missing_session_returns_401_no_store__AC5[list] · evidence/test-task-integration-final.log</t>
        </is>
      </c>
    </row>
    <row r="56" ht="90.5" customHeight="1">
      <c r="A56" s="7" t="inlineStr">
        <is>
          <t>TC-FALERT-48</t>
        </is>
      </c>
      <c r="B56" s="7" t="inlineStr">
        <is>
          <t>Từ chối request notification thiếu session [detail]</t>
        </is>
      </c>
      <c r="C56" s="8" t="inlineStr">
        <is>
          <t>Supabase local đã reset, API dùng api_role; dữ liệu test synthetic độc lập. Không dùng DB deploy.</t>
        </is>
      </c>
      <c r="D56" s="8" t="inlineStr">
        <is>
          <t>1. Tạo notification hợp lệ.
2. Gọi list/detail/PATCH theo Test Data không có Authorization.</t>
        </is>
      </c>
      <c r="E56" s="8" t="inlineStr">
        <is>
          <t>detail</t>
        </is>
      </c>
      <c r="F56" s="8" t="inlineStr">
        <is>
          <t>401 và Cache-Control:no-store, không trả dữ liệu sức khỏe.</t>
        </is>
      </c>
      <c r="G56" s="8" t="inlineStr">
        <is>
          <t>Đã chạy tự động: các kiểm tra response và DB nêu ở Expected Result đều pass.</t>
        </is>
      </c>
      <c r="H56" s="7" t="inlineStr">
        <is>
          <t>Pass</t>
        </is>
      </c>
      <c r="I56" s="8" t="inlineStr">
        <is>
          <t>AC5 · đoán lỗi, chuyển trạng thái và bảo mật · test_missing_session_returns_401_no_store__AC5[detail] · evidence/test-task-integration-final.log</t>
        </is>
      </c>
    </row>
    <row r="57" ht="90.5" customHeight="1">
      <c r="A57" s="7" t="inlineStr">
        <is>
          <t>TC-FALERT-49</t>
        </is>
      </c>
      <c r="B57" s="7" t="inlineStr">
        <is>
          <t>Từ chối request notification thiếu session [patch]</t>
        </is>
      </c>
      <c r="C57" s="8" t="inlineStr">
        <is>
          <t>Supabase local đã reset, API dùng api_role; dữ liệu test synthetic độc lập. Không dùng DB deploy.</t>
        </is>
      </c>
      <c r="D57" s="8" t="inlineStr">
        <is>
          <t>1. Tạo notification hợp lệ.
2. Gọi list/detail/PATCH theo Test Data không có Authorization.</t>
        </is>
      </c>
      <c r="E57" s="8" t="inlineStr">
        <is>
          <t>patch</t>
        </is>
      </c>
      <c r="F57" s="8" t="inlineStr">
        <is>
          <t>401 và Cache-Control:no-store, không trả dữ liệu sức khỏe.</t>
        </is>
      </c>
      <c r="G57" s="8" t="inlineStr">
        <is>
          <t>Đã chạy tự động: các kiểm tra response và DB nêu ở Expected Result đều pass.</t>
        </is>
      </c>
      <c r="H57" s="7" t="inlineStr">
        <is>
          <t>Pass</t>
        </is>
      </c>
      <c r="I57" s="8" t="inlineStr">
        <is>
          <t>AC5 · đoán lỗi, chuyển trạng thái và bảo mật · test_missing_session_returns_401_no_store__AC5[patch] · evidence/test-task-integration-final.log</t>
        </is>
      </c>
    </row>
    <row r="58" ht="156.5" customHeight="1">
      <c r="A58" s="7" t="inlineStr">
        <is>
          <t>TC-FALERT-50</t>
        </is>
      </c>
      <c r="B58" s="7" t="inlineStr">
        <is>
          <t>Giữ snapshot event sau sửa thuốc/lịch và quét lại</t>
        </is>
      </c>
      <c r="C58" s="8" t="inlineStr">
        <is>
          <t>Supabase local đã reset, API dùng api_role; dữ liệu test synthetic độc lập. Không dùng DB deploy.</t>
        </is>
      </c>
      <c r="D58" s="8" t="inlineStr">
        <is>
          <t>1. Tạo lịch P lúc 2026-10-20T01:00:00Z, thuốc Integration medicine; F không có token Android.
2. Scan bằng worker_role hai lần với controlled occurrence port tại giờ liều+3h.
3. GET inbox/detail bằng session F; sửa tên catalog và giờ lịch thành 19:00; GET detail lại.
4. PATCH is_read=true hai lần rồi đếm dose/notification và unread_count.</t>
        </is>
      </c>
      <c r="E58" s="8" t="inlineStr">
        <is>
          <t>P/F là UUID synthetic mới mỗi lần; ID notification lấy từ DB fixture; giờ 2026-10-20T01:00:00Z.</t>
        </is>
      </c>
      <c r="F58" s="8" t="inlineStr">
        <is>
          <t>Một dose bo_lo và một notification; snapshot thuốc/giờ giữ nguyên, badge về 0; PATCH không đổi dose; inbox không cần FCM token.</t>
        </is>
      </c>
      <c r="G58" s="8" t="inlineStr">
        <is>
          <t>Đã chạy tự động: các kiểm tra response và DB nêu ở Expected Result đều pass.</t>
        </is>
      </c>
      <c r="H58" s="7" t="inlineStr">
        <is>
          <t>Pass</t>
        </is>
      </c>
      <c r="I58" s="8" t="inlineStr">
        <is>
          <t>AC2, AC3, AC4 · đoán lỗi, chuyển trạng thái và bảo mật · test_scan_snapshot_survives_catalog_schedule_edit_and_replay__AC2_AC3_AC4 · evidence/test-task-integration-final.log</t>
        </is>
      </c>
    </row>
    <row r="59" ht="107" customHeight="1">
      <c r="A59" s="7" t="inlineStr">
        <is>
          <t>TC-FALERT-51</t>
        </is>
      </c>
      <c r="B59" s="7" t="inlineStr">
        <is>
          <t>Phân trang theo ID khi created_at bằng nhau và giữ badge toàn tập</t>
        </is>
      </c>
      <c r="C59" s="8" t="inlineStr">
        <is>
          <t>Supabase local đã reset, API dùng api_role; dữ liệu test synthetic độc lập. Không dùng DB deploy.</t>
        </is>
      </c>
      <c r="D59" s="8" t="inlineStr">
        <is>
          <t>1. Tạo 3 notification được phép, 2 unread, tất cả cùng created_at; thêm một notification patient bị từ chối.
2. GET với limit=1, offset=1; is_read=true/false; và limit=100,offset=100.
3. So ID và total/unread_count, kiểm denied.</t>
        </is>
      </c>
      <c r="E59" s="8" t="inlineStr">
        <is>
          <t>P/F là UUID synthetic mới mỗi lần; ID notification lấy từ DB fixture; giờ 2026-10-20T01:00:00Z.</t>
        </is>
      </c>
      <c r="F59" s="8" t="inlineStr">
        <is>
          <t>created_at DESC/id DESC; total theo is_read trước offset; unread_count luôn 2; patient bị từ chối không có trong count.</t>
        </is>
      </c>
      <c r="G59" s="8" t="inlineStr">
        <is>
          <t>Đã chạy tự động: các kiểm tra response và DB nêu ở Expected Result đều pass.</t>
        </is>
      </c>
      <c r="H59" s="7" t="inlineStr">
        <is>
          <t>Pass</t>
        </is>
      </c>
      <c r="I59" s="8" t="inlineStr">
        <is>
          <t>AC3, AC4 · đoán lỗi, chuyển trạng thái và bảo mật · test_filter_offset_tied_order_and_global_badge__AC3_AC4 · evidence/test-task-integration-final.log</t>
        </is>
      </c>
    </row>
    <row r="60" ht="107" customHeight="1">
      <c r="A60" s="7" t="inlineStr">
        <is>
          <t>TC-FALERT-52</t>
        </is>
      </c>
      <c r="B60" s="7" t="inlineStr">
        <is>
          <t>Giữ một bản ghi khi worker và xác nhận liều chạy đua [False]</t>
        </is>
      </c>
      <c r="C60" s="8" t="inlineStr">
        <is>
          <t>Supabase local đã reset, API dùng api_role; dữ liệu test synthetic độc lập. Không dùng DB deploy.</t>
        </is>
      </c>
      <c r="D60" s="8" t="inlineStr">
        <is>
          <t>1. Tạo lịch lúc 2026-10-20T01:00:00Z.
2. Giữ transaction INSERT bo_lo hoặc da_uong theo Test Data; chạy thao tác còn lại ở connection khác.
3. Chờ lock waiter, commit transaction giữ; kiểm dose_logs theo occurrence.</t>
        </is>
      </c>
      <c r="E60" s="8" t="inlineStr">
        <is>
          <t>False</t>
        </is>
      </c>
      <c r="F60" s="8" t="inlineStr">
        <is>
          <t>Một dòng; xác nhận đến muộn biến bo_lo thành uong_tre; worker không ghi đè da_uong.</t>
        </is>
      </c>
      <c r="G60" s="8" t="inlineStr">
        <is>
          <t>Đã chạy tự động: các kiểm tra response và DB nêu ở Expected Result đều pass.</t>
        </is>
      </c>
      <c r="H60" s="7" t="inlineStr">
        <is>
          <t>Pass</t>
        </is>
      </c>
      <c r="I60" s="8" t="inlineStr">
        <is>
          <t>AC3 · đoán lỗi, chuyển trạng thái và bảo mật · test_worker_database_race_never_overwrites_confirmation__AC3[False] · evidence/test-task-integration-final.log</t>
        </is>
      </c>
    </row>
    <row r="61" ht="107" customHeight="1">
      <c r="A61" s="7" t="inlineStr">
        <is>
          <t>TC-FALERT-53</t>
        </is>
      </c>
      <c r="B61" s="7" t="inlineStr">
        <is>
          <t>Giữ một bản ghi khi worker và xác nhận liều chạy đua [True]</t>
        </is>
      </c>
      <c r="C61" s="8" t="inlineStr">
        <is>
          <t>Supabase local đã reset, API dùng api_role; dữ liệu test synthetic độc lập. Không dùng DB deploy.</t>
        </is>
      </c>
      <c r="D61" s="8" t="inlineStr">
        <is>
          <t>1. Tạo lịch lúc 2026-10-20T01:00:00Z.
2. Giữ transaction INSERT bo_lo hoặc da_uong theo Test Data; chạy thao tác còn lại ở connection khác.
3. Chờ lock waiter, commit transaction giữ; kiểm dose_logs theo occurrence.</t>
        </is>
      </c>
      <c r="E61" s="8" t="inlineStr">
        <is>
          <t>True</t>
        </is>
      </c>
      <c r="F61" s="8" t="inlineStr">
        <is>
          <t>Một dòng; xác nhận đến muộn biến bo_lo thành uong_tre; worker không ghi đè da_uong.</t>
        </is>
      </c>
      <c r="G61" s="8" t="inlineStr">
        <is>
          <t>Đã chạy tự động: các kiểm tra response và DB nêu ở Expected Result đều pass.</t>
        </is>
      </c>
      <c r="H61" s="7" t="inlineStr">
        <is>
          <t>Pass</t>
        </is>
      </c>
      <c r="I61" s="8" t="inlineStr">
        <is>
          <t>AC3 · đoán lỗi, chuyển trạng thái và bảo mật · test_worker_database_race_never_overwrites_confirmation__AC3[True] · evidence/test-task-integration-final.log</t>
        </is>
      </c>
    </row>
    <row r="62" ht="123.5" customHeight="1">
      <c r="A62" s="7" t="inlineStr">
        <is>
          <t>TC-FALERT-54</t>
        </is>
      </c>
      <c r="B62" s="7" t="inlineStr">
        <is>
          <t>Nâng cấp schema giữ nguyên notification legacy</t>
        </is>
      </c>
      <c r="C62" s="8" t="inlineStr">
        <is>
          <t>Supabase local đã reset, API dùng api_role; dữ liệu test synthetic độc lập. Không dùng DB deploy.</t>
        </is>
      </c>
      <c r="D62" s="8" t="inlineStr">
        <is>
          <t>1. Trong transaction rollback-only, tái lập schema trước migration snapshot và INSERT notification legacy.
2. Chạy chính SQL migration 20261021093454 bên trong transaction test.
3. So dòng trước/sau; SET ROLE api_role rồi UPDATE is_read; rollback toàn bộ test.</t>
        </is>
      </c>
      <c r="E62" s="8" t="inlineStr">
        <is>
          <t>P/F là UUID synthetic mới mỗi lần; ID notification lấy từ DB fixture; giờ 2026-10-20T01:00:00Z.</t>
        </is>
      </c>
      <c r="F62" s="8" t="inlineStr">
        <is>
          <t>ID/nội dung/ngày/trạng thái legacy giữ nguyên; snapshot NULL; api_role vẫn đổi được is_read; không sửa migration đã áp dụng.</t>
        </is>
      </c>
      <c r="G62" s="8" t="inlineStr">
        <is>
          <t>Đã chạy tự động: các kiểm tra response và DB nêu ở Expected Result đều pass.</t>
        </is>
      </c>
      <c r="H62" s="7" t="inlineStr">
        <is>
          <t>Pass</t>
        </is>
      </c>
      <c r="I62" s="8" t="inlineStr">
        <is>
          <t>AC3 · đoán lỗi, chuyển trạng thái và bảo mật · test_upgrade_preserves_legacy_and_read_update__AC3 · evidence/test-task-integration-final.log</t>
        </is>
      </c>
    </row>
    <row r="63" ht="90.5" customHeight="1">
      <c r="A63" s="7" t="inlineStr">
        <is>
          <t>TC-FALERT-55</t>
        </is>
      </c>
      <c r="B63" s="7" t="inlineStr">
        <is>
          <t>Đọc và đánh dấu cảnh báo legacy thiếu snapshot</t>
        </is>
      </c>
      <c r="C63" s="8" t="inlineStr">
        <is>
          <t>Supabase local đã reset, API dùng api_role; dữ liệu test synthetic độc lập. Không dùng DB deploy.</t>
        </is>
      </c>
      <c r="D63" s="8" t="inlineStr">
        <is>
          <t>1. Chuẩn bị notification legacy có medication_name/scheduled_at=NULL.
2. GET detail rồi PATCH is_read=true bằng người thân có quyền.</t>
        </is>
      </c>
      <c r="E63" s="8" t="inlineStr">
        <is>
          <t>P/F là UUID synthetic mới mỗi lần; ID notification lấy từ DB fixture; giờ 2026-10-20T01:00:00Z.</t>
        </is>
      </c>
      <c r="F63" s="8" t="inlineStr">
        <is>
          <t>200 đủ field nullable và is_read=true sau PATCH; không backfill bằng lịch hiện tại.</t>
        </is>
      </c>
      <c r="G63" s="8" t="inlineStr">
        <is>
          <t>Đã chạy tự động: các kiểm tra response và DB nêu ở Expected Result đều pass.</t>
        </is>
      </c>
      <c r="H63" s="7" t="inlineStr">
        <is>
          <t>Pass</t>
        </is>
      </c>
      <c r="I63" s="8" t="inlineStr">
        <is>
          <t>AC3, AC4 · đoán lỗi, chuyển trạng thái và bảo mật · test_legacy_null_snapshot_can_be_read_and_marked__AC3_AC4 · evidence/test-task-integration-final.log</t>
        </is>
      </c>
    </row>
    <row r="64" ht="90.5" customHeight="1">
      <c r="A64" s="7" t="inlineStr">
        <is>
          <t>TC-FALERT-56</t>
        </is>
      </c>
      <c r="B64" s="7" t="inlineStr">
        <is>
          <t>Chặn notification mới thiếu snapshot [None-at0]</t>
        </is>
      </c>
      <c r="C64" s="8" t="inlineStr">
        <is>
          <t>Supabase local đã reset, API dùng api_role; dữ liệu test synthetic độc lập. Không dùng DB deploy.</t>
        </is>
      </c>
      <c r="D64" s="8" t="inlineStr">
        <is>
          <t>1. Tạo patient/recipient synthetic.
2. INSERT notifications với name/time theo Test Data bằng connection quản trị.</t>
        </is>
      </c>
      <c r="E64" s="8" t="inlineStr">
        <is>
          <t>medication_name=NULL; scheduled_at=2026-10-20T01:00:00Z</t>
        </is>
      </c>
      <c r="F64" s="8" t="inlineStr">
        <is>
          <t>DB từ chối với SQLSTATE 23514; không tạo dòng thiếu snapshot.</t>
        </is>
      </c>
      <c r="G64" s="8" t="inlineStr">
        <is>
          <t>Đã chạy tự động: các kiểm tra response và DB nêu ở Expected Result đều pass.</t>
        </is>
      </c>
      <c r="H64" s="7" t="inlineStr">
        <is>
          <t>Pass</t>
        </is>
      </c>
      <c r="I64" s="8" t="inlineStr">
        <is>
          <t>AC3 · đoán lỗi, chuyển trạng thái và bảo mật · test_new_insert_requires_snapshot__AC3[None-at0] · evidence/test-task-integration-final.log</t>
        </is>
      </c>
    </row>
    <row r="65" ht="90.5" customHeight="1">
      <c r="A65" s="7" t="inlineStr">
        <is>
          <t>TC-FALERT-57</t>
        </is>
      </c>
      <c r="B65" s="7" t="inlineStr">
        <is>
          <t>Chặn notification mới thiếu snapshot [-at1]</t>
        </is>
      </c>
      <c r="C65" s="8" t="inlineStr">
        <is>
          <t>Supabase local đã reset, API dùng api_role; dữ liệu test synthetic độc lập. Không dùng DB deploy.</t>
        </is>
      </c>
      <c r="D65" s="8" t="inlineStr">
        <is>
          <t>1. Tạo patient/recipient synthetic.
2. INSERT notifications với name/time theo Test Data bằng connection quản trị.</t>
        </is>
      </c>
      <c r="E65" s="8" t="inlineStr">
        <is>
          <t>medication_name=(blank); scheduled_at=2026-10-20T01:00:00Z</t>
        </is>
      </c>
      <c r="F65" s="8" t="inlineStr">
        <is>
          <t>DB từ chối với SQLSTATE 23514; không tạo dòng thiếu snapshot.</t>
        </is>
      </c>
      <c r="G65" s="8" t="inlineStr">
        <is>
          <t>Đã chạy tự động: các kiểm tra response và DB nêu ở Expected Result đều pass.</t>
        </is>
      </c>
      <c r="H65" s="7" t="inlineStr">
        <is>
          <t>Pass</t>
        </is>
      </c>
      <c r="I65" s="8" t="inlineStr">
        <is>
          <t>AC3 · đoán lỗi, chuyển trạng thái và bảo mật · test_new_insert_requires_snapshot__AC3[-at1] · evidence/test-task-integration-final.log</t>
        </is>
      </c>
    </row>
    <row r="66" ht="90.5" customHeight="1">
      <c r="A66" s="7" t="inlineStr">
        <is>
          <t>TC-FALERT-58</t>
        </is>
      </c>
      <c r="B66" s="7" t="inlineStr">
        <is>
          <t>Chặn notification mới thiếu snapshot [   -at2]</t>
        </is>
      </c>
      <c r="C66" s="8" t="inlineStr">
        <is>
          <t>Supabase local đã reset, API dùng api_role; dữ liệu test synthetic độc lập. Không dùng DB deploy.</t>
        </is>
      </c>
      <c r="D66" s="8" t="inlineStr">
        <is>
          <t>1. Tạo patient/recipient synthetic.
2. INSERT notifications với name/time theo Test Data bằng connection quản trị.</t>
        </is>
      </c>
      <c r="E66" s="8" t="inlineStr">
        <is>
          <t>medication_name="   "; scheduled_at=2026-10-20T01:00:00Z</t>
        </is>
      </c>
      <c r="F66" s="8" t="inlineStr">
        <is>
          <t>DB từ chối với SQLSTATE 23514; không tạo dòng thiếu snapshot.</t>
        </is>
      </c>
      <c r="G66" s="8" t="inlineStr">
        <is>
          <t>Đã chạy tự động: các kiểm tra response và DB nêu ở Expected Result đều pass.</t>
        </is>
      </c>
      <c r="H66" s="7" t="inlineStr">
        <is>
          <t>Pass</t>
        </is>
      </c>
      <c r="I66" s="8" t="inlineStr">
        <is>
          <t>AC3 · đoán lỗi, chuyển trạng thái và bảo mật · test_new_insert_requires_snapshot__AC3[   -at2] · evidence/test-task-integration-final.log</t>
        </is>
      </c>
    </row>
    <row r="67" ht="90.5" customHeight="1">
      <c r="A67" s="7" t="inlineStr">
        <is>
          <t>TC-FALERT-59</t>
        </is>
      </c>
      <c r="B67" s="7" t="inlineStr">
        <is>
          <t>Chặn notification mới thiếu snapshot [Valid-None]</t>
        </is>
      </c>
      <c r="C67" s="8" t="inlineStr">
        <is>
          <t>Supabase local đã reset, API dùng api_role; dữ liệu test synthetic độc lập. Không dùng DB deploy.</t>
        </is>
      </c>
      <c r="D67" s="8" t="inlineStr">
        <is>
          <t>1. Tạo patient/recipient synthetic.
2. INSERT notifications với name/time theo Test Data bằng connection quản trị.</t>
        </is>
      </c>
      <c r="E67" s="8" t="inlineStr">
        <is>
          <t>medication_name="Valid"; scheduled_at=NULL</t>
        </is>
      </c>
      <c r="F67" s="8" t="inlineStr">
        <is>
          <t>DB từ chối với SQLSTATE 23514; không tạo dòng thiếu snapshot.</t>
        </is>
      </c>
      <c r="G67" s="8" t="inlineStr">
        <is>
          <t>Đã chạy tự động: các kiểm tra response và DB nêu ở Expected Result đều pass.</t>
        </is>
      </c>
      <c r="H67" s="7" t="inlineStr">
        <is>
          <t>Pass</t>
        </is>
      </c>
      <c r="I67" s="8" t="inlineStr">
        <is>
          <t>AC3 · đoán lỗi, chuyển trạng thái và bảo mật · test_new_insert_requires_snapshot__AC3[Valid-None] · evidence/test-task-integration-final.log</t>
        </is>
      </c>
    </row>
    <row r="68" ht="140" customHeight="1">
      <c r="A68" s="7" t="inlineStr">
        <is>
          <t>TC-FALERT-60</t>
        </is>
      </c>
      <c r="B68" s="7" t="inlineStr">
        <is>
          <t>Giữ RLS, quyền tối thiểu và index cho inbox [anon]</t>
        </is>
      </c>
      <c r="C68" s="8" t="inlineStr">
        <is>
          <t>Supabase local đã reset, API dùng api_role; dữ liệu test synthetic độc lập. Không dùng DB deploy.</t>
        </is>
      </c>
      <c r="D68" s="8" t="inlineStr">
        <is>
          <t>1. SET LOCAL ROLE theo Test Data trong transaction rollback-only.
2. anon/authenticated thử SELECT; API UPDATE is_read và thử UPDATE thuốc; worker INSERT snapshot và thử UPDATE is_read.
3. Kiểm RLS/policies/index dedupe, recipient/patient/id, inbox order; EXPLAIN với enable_seqscan=off.</t>
        </is>
      </c>
      <c r="E68" s="8" t="inlineStr">
        <is>
          <t>anon</t>
        </is>
      </c>
      <c r="F68" s="8" t="inlineStr">
        <is>
          <t>Client roles không đọc; API chỉ đổi is_read; worker INSERT được và UPDATE bị chặn; RLS bật, không policy client; index inbox được dùng.</t>
        </is>
      </c>
      <c r="G68" s="8" t="inlineStr">
        <is>
          <t>Đã chạy tự động: các kiểm tra response và DB nêu ở Expected Result đều pass.</t>
        </is>
      </c>
      <c r="H68" s="7" t="inlineStr">
        <is>
          <t>Pass</t>
        </is>
      </c>
      <c r="I68" s="8" t="inlineStr">
        <is>
          <t>AC3, AC5 · đoán lỗi, chuyển trạng thái và bảo mật · test_snapshot_roles_rls_and_indexes__AC3_AC5[anon] · evidence/test-task-integration-final.log</t>
        </is>
      </c>
    </row>
    <row r="69" ht="140" customHeight="1">
      <c r="A69" s="7" t="inlineStr">
        <is>
          <t>TC-FALERT-61</t>
        </is>
      </c>
      <c r="B69" s="7" t="inlineStr">
        <is>
          <t>Giữ RLS, quyền tối thiểu và index cho inbox [authenticated]</t>
        </is>
      </c>
      <c r="C69" s="8" t="inlineStr">
        <is>
          <t>Supabase local đã reset, API dùng api_role; dữ liệu test synthetic độc lập. Không dùng DB deploy.</t>
        </is>
      </c>
      <c r="D69" s="8" t="inlineStr">
        <is>
          <t>1. SET LOCAL ROLE theo Test Data trong transaction rollback-only.
2. anon/authenticated thử SELECT; API UPDATE is_read và thử UPDATE thuốc; worker INSERT snapshot và thử UPDATE is_read.
3. Kiểm RLS/policies/index dedupe, recipient/patient/id, inbox order; EXPLAIN với enable_seqscan=off.</t>
        </is>
      </c>
      <c r="E69" s="8" t="inlineStr">
        <is>
          <t>authenticated</t>
        </is>
      </c>
      <c r="F69" s="8" t="inlineStr">
        <is>
          <t>Client roles không đọc; API chỉ đổi is_read; worker INSERT được và UPDATE bị chặn; RLS bật, không policy client; index inbox được dùng.</t>
        </is>
      </c>
      <c r="G69" s="8" t="inlineStr">
        <is>
          <t>Đã chạy tự động: các kiểm tra response và DB nêu ở Expected Result đều pass.</t>
        </is>
      </c>
      <c r="H69" s="7" t="inlineStr">
        <is>
          <t>Pass</t>
        </is>
      </c>
      <c r="I69" s="8" t="inlineStr">
        <is>
          <t>AC3, AC5 · đoán lỗi, chuyển trạng thái và bảo mật · test_snapshot_roles_rls_and_indexes__AC3_AC5[authenticated] · evidence/test-task-integration-final.log</t>
        </is>
      </c>
    </row>
    <row r="70" ht="140" customHeight="1">
      <c r="A70" s="7" t="inlineStr">
        <is>
          <t>TC-FALERT-62</t>
        </is>
      </c>
      <c r="B70" s="7" t="inlineStr">
        <is>
          <t>Giữ RLS, quyền tối thiểu và index cho inbox [api_role]</t>
        </is>
      </c>
      <c r="C70" s="8" t="inlineStr">
        <is>
          <t>Supabase local đã reset, API dùng api_role; dữ liệu test synthetic độc lập. Không dùng DB deploy.</t>
        </is>
      </c>
      <c r="D70" s="8" t="inlineStr">
        <is>
          <t>1. SET LOCAL ROLE theo Test Data trong transaction rollback-only.
2. anon/authenticated thử SELECT; API UPDATE is_read và thử UPDATE thuốc; worker INSERT snapshot và thử UPDATE is_read.
3. Kiểm RLS/policies/index dedupe, recipient/patient/id, inbox order; EXPLAIN với enable_seqscan=off.</t>
        </is>
      </c>
      <c r="E70" s="8" t="inlineStr">
        <is>
          <t>api_role</t>
        </is>
      </c>
      <c r="F70" s="8" t="inlineStr">
        <is>
          <t>Client roles không đọc; API chỉ đổi is_read; worker INSERT được và UPDATE bị chặn; RLS bật, không policy client; index inbox được dùng.</t>
        </is>
      </c>
      <c r="G70" s="8" t="inlineStr">
        <is>
          <t>Đã chạy tự động: các kiểm tra response và DB nêu ở Expected Result đều pass.</t>
        </is>
      </c>
      <c r="H70" s="7" t="inlineStr">
        <is>
          <t>Pass</t>
        </is>
      </c>
      <c r="I70" s="8" t="inlineStr">
        <is>
          <t>AC3, AC5 · đoán lỗi, chuyển trạng thái và bảo mật · test_snapshot_roles_rls_and_indexes__AC3_AC5[api_role] · evidence/test-task-integration-final.log</t>
        </is>
      </c>
    </row>
    <row r="71" ht="140" customHeight="1">
      <c r="A71" s="7" t="inlineStr">
        <is>
          <t>TC-FALERT-63</t>
        </is>
      </c>
      <c r="B71" s="7" t="inlineStr">
        <is>
          <t>Giữ RLS, quyền tối thiểu và index cho inbox [worker_role]</t>
        </is>
      </c>
      <c r="C71" s="8" t="inlineStr">
        <is>
          <t>Supabase local đã reset, API dùng api_role; dữ liệu test synthetic độc lập. Không dùng DB deploy.</t>
        </is>
      </c>
      <c r="D71" s="8" t="inlineStr">
        <is>
          <t>1. SET LOCAL ROLE theo Test Data trong transaction rollback-only.
2. anon/authenticated thử SELECT; API UPDATE is_read và thử UPDATE thuốc; worker INSERT snapshot và thử UPDATE is_read.
3. Kiểm RLS/policies/index dedupe, recipient/patient/id, inbox order; EXPLAIN với enable_seqscan=off.</t>
        </is>
      </c>
      <c r="E71" s="8" t="inlineStr">
        <is>
          <t>worker_role</t>
        </is>
      </c>
      <c r="F71" s="8" t="inlineStr">
        <is>
          <t>Client roles không đọc; API chỉ đổi is_read; worker INSERT được và UPDATE bị chặn; RLS bật, không policy client; index inbox được dùng.</t>
        </is>
      </c>
      <c r="G71" s="8" t="inlineStr">
        <is>
          <t>Đã chạy tự động: các kiểm tra response và DB nêu ở Expected Result đều pass.</t>
        </is>
      </c>
      <c r="H71" s="7" t="inlineStr">
        <is>
          <t>Pass</t>
        </is>
      </c>
      <c r="I71" s="8" t="inlineStr">
        <is>
          <t>AC3, AC5 · đoán lỗi, chuyển trạng thái và bảo mật · test_snapshot_roles_rls_and_indexes__AC3_AC5[worker_role] · evidence/test-task-integration-final.log</t>
        </is>
      </c>
    </row>
    <row r="72" ht="107" customHeight="1">
      <c r="A72" s="7" t="inlineStr">
        <is>
          <t>TC-FALERT-64</t>
        </is>
      </c>
      <c r="B72" s="7" t="inlineStr">
        <is>
          <t>Nhận và mở FCM ở foreground</t>
        </is>
      </c>
      <c r="C72" s="8" t="inlineStr">
        <is>
          <t>Cần APK/thiết bị Android hoặc môi trường iOS và dispatcher FCM thật; chưa có bằng chứng thao tác thiết bị trong phiên Windows này.</t>
        </is>
      </c>
      <c r="D72" s="8" t="inlineStr">
        <is>
          <t>1. Đăng nhập F trên Android có Google Play services và bật quyền notification.
2. Gây missed-dose thật cho P liên kết; giữ app foreground; nhận push và chạm mở.
3. So patient/notification_id với API và kiểm không mở nhầm patient.</t>
        </is>
      </c>
      <c r="E72" s="8" t="inlineStr">
        <is>
          <t>Foreground; payload notification_id hợp lệ.</t>
        </is>
      </c>
      <c r="F72" s="8" t="inlineStr">
        <is>
          <t>Token được đăng ký; local notification mở đúng cảnh báo sau GET detail.</t>
        </is>
      </c>
      <c r="G72" s="8" t="inlineStr"/>
      <c r="H72" s="7" t="inlineStr">
        <is>
          <t>Pending</t>
        </is>
      </c>
      <c r="I72" s="8" t="inlineStr">
        <is>
          <t>AC1, AC2 · manual · M1–M4 · chưa chạy thiết bị</t>
        </is>
      </c>
    </row>
    <row r="73" ht="90.5" customHeight="1">
      <c r="A73" s="7" t="inlineStr">
        <is>
          <t>TC-FALERT-65</t>
        </is>
      </c>
      <c r="B73" s="7" t="inlineStr">
        <is>
          <t>Nhận và mở FCM ở background</t>
        </is>
      </c>
      <c r="C73" s="8" t="inlineStr">
        <is>
          <t>Cần APK/thiết bị Android hoặc môi trường iOS và dispatcher FCM thật; chưa có bằng chứng thao tác thiết bị trong phiên Windows này.</t>
        </is>
      </c>
      <c r="D73" s="8" t="inlineStr">
        <is>
          <t>1. Đưa app xuống nền bình thường.
2. Gây cảnh báo thật cho P và chạm notification hệ điều hành.
3. So patient/detail với API.</t>
        </is>
      </c>
      <c r="E73" s="8" t="inlineStr">
        <is>
          <t>Background; thiết bị Android thật.</t>
        </is>
      </c>
      <c r="F73" s="8" t="inlineStr">
        <is>
          <t>Mở đúng cảnh báo và patient; quyền được kiểm lại.</t>
        </is>
      </c>
      <c r="G73" s="8" t="inlineStr"/>
      <c r="H73" s="7" t="inlineStr">
        <is>
          <t>Pending</t>
        </is>
      </c>
      <c r="I73" s="8" t="inlineStr">
        <is>
          <t>AC2 · manual · M1–M4 · chưa chạy thiết bị</t>
        </is>
      </c>
    </row>
    <row r="74" ht="107" customHeight="1">
      <c r="A74" s="7" t="inlineStr">
        <is>
          <t>TC-FALERT-66</t>
        </is>
      </c>
      <c r="B74" s="7" t="inlineStr">
        <is>
          <t>Mở FCM từ terminated thông thường</t>
        </is>
      </c>
      <c r="C74" s="8" t="inlineStr">
        <is>
          <t>Cần APK/thiết bị Android hoặc môi trường iOS và dispatcher FCM thật; chưa có bằng chứng thao tác thiết bị trong phiên Windows này.</t>
        </is>
      </c>
      <c r="D74" s="8" t="inlineStr">
        <is>
          <t>1. Đóng app theo cách thông thường, không force-stop.
2. Gửi cảnh báo thật; chạm notification khởi động app.
3. Kiểm initial message chỉ điều hướng một lần tới đúng detail.</t>
        </is>
      </c>
      <c r="E74" s="8" t="inlineStr">
        <is>
          <t>Terminated; không force-stop.</t>
        </is>
      </c>
      <c r="F74" s="8" t="inlineStr">
        <is>
          <t>Cold start lấy đúng notification bằng session hiện hành.</t>
        </is>
      </c>
      <c r="G74" s="8" t="inlineStr"/>
      <c r="H74" s="7" t="inlineStr">
        <is>
          <t>Pending</t>
        </is>
      </c>
      <c r="I74" s="8" t="inlineStr">
        <is>
          <t>AC2 · manual · M1–M4 · chưa chạy thiết bị</t>
        </is>
      </c>
    </row>
    <row r="75" ht="90.5" customHeight="1">
      <c r="A75" s="7" t="inlineStr">
        <is>
          <t>TC-FALERT-67</t>
        </is>
      </c>
      <c r="B75" s="7" t="inlineStr">
        <is>
          <t>Từ chối payload sai và vẫn dùng inbox khi tắt quyền notification</t>
        </is>
      </c>
      <c r="C75" s="8" t="inlineStr">
        <is>
          <t>Cần APK/thiết bị Android hoặc môi trường iOS và dispatcher FCM thật; chưa có bằng chứng thao tác thiết bị trong phiên Windows này.</t>
        </is>
      </c>
      <c r="D75" s="8" t="inlineStr">
        <is>
          <t>1. Gửi payload thiếu ID, ID=0, không phải số và ID vượt int64.
2. Tắt quyền notification Android rồi mở hộp thư và đánh dấu đã đọc.</t>
        </is>
      </c>
      <c r="E75" s="8" t="inlineStr">
        <is>
          <t>ID=(blank),0,abc,9223372036854775808; permission denied.</t>
        </is>
      </c>
      <c r="F75" s="8" t="inlineStr">
        <is>
          <t>Payload sai không điều hướng; inbox vẫn GET/PATCH và badge theo server.</t>
        </is>
      </c>
      <c r="G75" s="8" t="inlineStr"/>
      <c r="H75" s="7" t="inlineStr">
        <is>
          <t>Pending</t>
        </is>
      </c>
      <c r="I75" s="8" t="inlineStr">
        <is>
          <t>AC2, AC3 · manual · M1–M4 · chưa chạy thiết bị</t>
        </is>
      </c>
    </row>
    <row r="76" ht="107" customHeight="1">
      <c r="A76" s="7" t="inlineStr">
        <is>
          <t>TC-FALERT-68</t>
        </is>
      </c>
      <c r="B76" s="7" t="inlineStr">
        <is>
          <t>Kiểm preview remote background và màn hình khóa</t>
        </is>
      </c>
      <c r="C76" s="8" t="inlineStr">
        <is>
          <t>Cần APK/thiết bị Android hoặc môi trường iOS và dispatcher FCM thật; chưa có bằng chứng thao tác thiết bị trong phiên Windows này.</t>
        </is>
      </c>
      <c r="D76" s="8" t="inlineStr">
        <is>
          <t>1. Bật preview trên thiết bị Android rồi nhận remote push khi app ở nền.
2. Đổi cài đặt ẩn nội dung trên màn hình khóa và lặp lại.
3. Ghi phiên bản OS, cài đặt và nội dung nhìn thấy.</t>
        </is>
      </c>
      <c r="E76" s="8" t="inlineStr">
        <is>
          <t>Preview show/hide; remote background.</t>
        </is>
      </c>
      <c r="F76" s="8" t="inlineStr">
        <is>
          <t>Nội dung theo cài đặt OS; không có tên thuốc/giờ/chi tiết liều.</t>
        </is>
      </c>
      <c r="G76" s="8" t="inlineStr"/>
      <c r="H76" s="7" t="inlineStr">
        <is>
          <t>Pending</t>
        </is>
      </c>
      <c r="I76" s="8" t="inlineStr">
        <is>
          <t>AC6 · manual · M1–M4 · chưa chạy thiết bị</t>
        </is>
      </c>
    </row>
    <row r="77" ht="90.5" customHeight="1">
      <c r="A77" s="7" t="inlineStr">
        <is>
          <t>TC-FALERT-69</t>
        </is>
      </c>
      <c r="B77" s="7" t="inlineStr">
        <is>
          <t>Kiểm preview local foreground và quiet hours</t>
        </is>
      </c>
      <c r="C77" s="8" t="inlineStr">
        <is>
          <t>Cần APK/thiết bị Android hoặc môi trường iOS và dispatcher FCM thật; chưa có bằng chứng thao tác thiết bị trong phiên Windows này.</t>
        </is>
      </c>
      <c r="D77" s="8" t="inlineStr">
        <is>
          <t>1. Lặp thao tác preview bật/ẩn với push ở foreground tạo local notification.
2. Kiểm family channel không full-screen và không phá quiet hours/reminder.</t>
        </is>
      </c>
      <c r="E77" s="8" t="inlineStr">
        <is>
          <t>Local foreground; preview show/hide; quiet hours bật.</t>
        </is>
      </c>
      <c r="F77" s="8" t="inlineStr">
        <is>
          <t>Nội dung khóa chung khi ẩn; không thuốc/giờ, không full-screen, giữ reminder.</t>
        </is>
      </c>
      <c r="G77" s="8" t="inlineStr"/>
      <c r="H77" s="7" t="inlineStr">
        <is>
          <t>Pending</t>
        </is>
      </c>
      <c r="I77" s="8" t="inlineStr">
        <is>
          <t>AC6 · manual · M1–M4 · chưa chạy thiết bị</t>
        </is>
      </c>
    </row>
    <row r="78" ht="107" customHeight="1">
      <c r="A78" s="7" t="inlineStr">
        <is>
          <t>TC-FALERT-70</t>
        </is>
      </c>
      <c r="B78" s="7" t="inlineStr">
        <is>
          <t>Đăng xuất và đổi tài khoản khi PUT đang bay</t>
        </is>
      </c>
      <c r="C78" s="8" t="inlineStr">
        <is>
          <t>Cần APK/thiết bị Android hoặc môi trường iOS và dispatcher FCM thật; chưa có bằng chứng thao tác thiết bị trong phiên Windows này.</t>
        </is>
      </c>
      <c r="D78" s="8" t="inlineStr">
        <is>
          <t>1. A đăng nhập trên Android thật; trì hoãn PUT/refresh ở proxy local.
2. Bấm logout/đổi sang B rồi thả request theo cả thứ tự.
3. Kiểm server chọn token và gửi missed-dose mới cho A.</t>
        </is>
      </c>
      <c r="E78" s="8" t="inlineStr">
        <is>
          <t>A→B; delayed PUT/refresh/DELETE; dispatcher thật.</t>
        </is>
      </c>
      <c r="F78" s="8" t="inlineStr">
        <is>
          <t>Cleanup hoàn tất hoặc token cũ vô hiệu trước khi kết thúc session; không nhận cảnh báo mới của A; không hiện health A khi dùng B.</t>
        </is>
      </c>
      <c r="G78" s="8" t="inlineStr"/>
      <c r="H78" s="7" t="inlineStr">
        <is>
          <t>Pending</t>
        </is>
      </c>
      <c r="I78" s="8" t="inlineStr">
        <is>
          <t>AC8 · manual · M1–M4 · chưa chạy thiết bị</t>
        </is>
      </c>
    </row>
    <row r="79" ht="90.5" customHeight="1">
      <c r="A79" s="7" t="inlineStr">
        <is>
          <t>TC-FALERT-71</t>
        </is>
      </c>
      <c r="B79" s="7" t="inlineStr">
        <is>
          <t>Khôi phục cleanup sau offline, hết hạn và kill</t>
        </is>
      </c>
      <c r="C79" s="8" t="inlineStr">
        <is>
          <t>Cần APK/thiết bị Android hoặc môi trường iOS và dispatcher FCM thật; chưa có bằng chứng thao tác thiết bị trong phiên Windows này.</t>
        </is>
      </c>
      <c r="D79" s="8" t="inlineStr">
        <is>
          <t>1. A đăng nhập; tắt mạng khi cleanup hoặc để session hết hạn.
2. Kill app giữa cleanup, khởi động lại rồi bật mạng và đăng nhập B.
3. Gửi cảnh báo cho A và thử stale push tap.</t>
        </is>
      </c>
      <c r="E79" s="8" t="inlineStr">
        <is>
          <t>Offline; expired bearer; kill/restart; upstream dispatch recheck.</t>
        </is>
      </c>
      <c r="F79" s="8" t="inlineStr">
        <is>
          <t>Retry/rotation không chuyển token cho sai user; stale tap/response không hiện A. Push đã giao FCM ghi riêng.</t>
        </is>
      </c>
      <c r="G79" s="8" t="inlineStr"/>
      <c r="H79" s="7" t="inlineStr">
        <is>
          <t>Pending</t>
        </is>
      </c>
      <c r="I79" s="8" t="inlineStr">
        <is>
          <t>AC8 · manual · M1–M4 · chưa chạy thiết bị</t>
        </is>
      </c>
    </row>
    <row r="80" ht="90.5" customHeight="1">
      <c r="A80" s="7" t="inlineStr">
        <is>
          <t>TC-FALERT-72</t>
        </is>
      </c>
      <c r="B80" s="7" t="inlineStr">
        <is>
          <t>Kiểm hộp thư iOS trên thiết bị hoặc simulator</t>
        </is>
      </c>
      <c r="C80" s="8" t="inlineStr">
        <is>
          <t>Cần APK/thiết bị Android hoặc môi trường iOS và dispatcher FCM thật; chưa có bằng chứng thao tác thiết bị trong phiên Windows này.</t>
        </is>
      </c>
      <c r="D80" s="8" t="inlineStr">
        <is>
          <t>1. Mở app iOS và đăng nhập F có notification.
2. Kiểm dòng “Thông báo đẩy chưa được hỗ trợ”, patient, thuốc và giờ VN.
3. Đánh dấu đọc, kiểm badge; background/resume rồi tải lại.</t>
        </is>
      </c>
      <c r="E80" s="8" t="inlineStr">
        <is>
          <t>iOS simulator/device; giờ UTC+7; không APNs.</t>
        </is>
      </c>
      <c r="F80" s="8" t="inlineStr">
        <is>
          <t>Inbox GET/PATCH hoạt động; note đúng câu; badge đúng; không gọi đăng ký token Android.</t>
        </is>
      </c>
      <c r="G80" s="8" t="inlineStr"/>
      <c r="H80" s="7" t="inlineStr">
        <is>
          <t>Pending</t>
        </is>
      </c>
      <c r="I80" s="8" t="inlineStr">
        <is>
          <t>AC3, AC4, AC7 · manual · M1–M4 · chưa chạy thiết bị</t>
        </is>
      </c>
    </row>
    <row r="81" ht="74" customHeight="1">
      <c r="A81" s="7" t="inlineStr">
        <is>
          <t>TC-FALERT-73</t>
        </is>
      </c>
      <c r="B81" s="7" t="inlineStr">
        <is>
          <t>Hiển thị note iOS, thuốc và ngày VN trong widget</t>
        </is>
      </c>
      <c r="C81" s="8" t="inlineStr">
        <is>
          <t>Môi trường Flutter test với fake repository có dữ liệu đã định nghĩa.</t>
        </is>
      </c>
      <c r="D81" s="8" t="inlineStr">
        <is>
          <t>1. Chạy flutter test test/features/family/family_alert_screens_test.dart.
2. Quan sát assertion iOS inbox has support note, patient, medicine, VN day and read status.</t>
        </is>
      </c>
      <c r="E81" s="8" t="inlineStr">
        <is>
          <t>TargetPlatform.iOS; timestamp fixture của widget.</t>
        </is>
      </c>
      <c r="F81" s="8" t="inlineStr">
        <is>
          <t>Có note iOS, patient, medicine, ngày VN và read status trong widget.</t>
        </is>
      </c>
      <c r="G81" s="8" t="inlineStr">
        <is>
          <t>Widget được chạy trong full Flutter: 563 tests pass, gồm assertion nêu trên.</t>
        </is>
      </c>
      <c r="H81" s="7" t="inlineStr">
        <is>
          <t>Pass</t>
        </is>
      </c>
      <c r="I81" s="8" t="inlineStr">
        <is>
          <t>AC3, AC7 · widget · evidence/test-mobile.log; không phải iOS runtime</t>
        </is>
      </c>
    </row>
    <row r="82"/>
    <row r="83"/>
    <row r="84">
      <c r="G84" s="12" t="inlineStr">
        <is>
          <t>Pass</t>
        </is>
      </c>
      <c r="H84" s="13">
        <f>COUNTIF(H9:H81,"Pass")</f>
        <v/>
      </c>
    </row>
    <row r="85">
      <c r="G85" s="12" t="inlineStr">
        <is>
          <t>Fail</t>
        </is>
      </c>
      <c r="H85" s="13">
        <f>COUNTIF(H9:H81,"Fail")</f>
        <v/>
      </c>
    </row>
    <row r="86">
      <c r="G86" s="12" t="inlineStr">
        <is>
          <t>Pending</t>
        </is>
      </c>
      <c r="H86" s="13">
        <f>COUNTIF(H9:H81,"Pending")</f>
        <v/>
      </c>
    </row>
    <row r="87">
      <c r="G87" s="12" t="inlineStr">
        <is>
          <t>Total</t>
        </is>
      </c>
      <c r="H87" s="13">
        <f>SUM(H84:H86)</f>
        <v/>
      </c>
    </row>
  </sheetData>
  <autoFilter ref="A8:I81"/>
  <conditionalFormatting sqref="H9:H81">
    <cfRule type="cellIs" priority="1" operator="equal" dxfId="0">
      <formula>"Fail"</formula>
    </cfRule>
  </conditionalFormatting>
  <dataValidations count="1">
    <dataValidation sqref="H9:H81" showDropDown="0" showInputMessage="0" showErrorMessage="0" allowBlank="0" type="list">
      <formula1>"Pass,Fail,Pending"</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s>
  <sheetData>
    <row r="1">
      <c r="A1" s="1" t="inlineStr">
        <is>
          <t>Project Name</t>
        </is>
      </c>
      <c r="B1" s="2" t="inlineStr">
        <is>
          <t>DrugTime</t>
        </is>
      </c>
    </row>
    <row r="2">
      <c r="A2" s="1" t="inlineStr">
        <is>
          <t>Module Name</t>
        </is>
      </c>
      <c r="B2" s="2" t="inlineStr">
        <is>
          <t>FCM token Android (FCMTOKEN)</t>
        </is>
      </c>
    </row>
    <row r="3">
      <c r="A3" s="1" t="inlineStr">
        <is>
          <t>Created By</t>
        </is>
      </c>
      <c r="B3" s="2" t="inlineStr">
        <is>
          <t>phucnguyenngoc</t>
        </is>
      </c>
    </row>
    <row r="4">
      <c r="A4" s="1" t="inlineStr">
        <is>
          <t>Creation Date</t>
        </is>
      </c>
      <c r="B4" s="21" t="n">
        <v>46317</v>
      </c>
    </row>
    <row r="5">
      <c r="A5" s="1" t="inlineStr">
        <is>
          <t>Reviewed By</t>
        </is>
      </c>
      <c r="B5" s="2" t="inlineStr"/>
    </row>
    <row r="6">
      <c r="A6" s="1" t="inlineStr">
        <is>
          <t>Reviewed Date</t>
        </is>
      </c>
      <c r="B6" s="2" t="n"/>
    </row>
    <row r="7">
      <c r="K7" s="4" t="inlineStr">
        <is>
          <t>Equivalence Partitioning</t>
        </is>
      </c>
      <c r="Q7" s="4" t="inlineStr">
        <is>
          <t>Chủ sở hữu token</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row>
    <row r="9" ht="107" customHeight="1">
      <c r="A9" s="7" t="inlineStr">
        <is>
          <t>TC-FCMTOKEN-01</t>
        </is>
      </c>
      <c r="B9" s="7" t="inlineStr">
        <is>
          <t>Đăng ký lặp, refresh và gỡ token trước logout</t>
        </is>
      </c>
      <c r="C9" s="8" t="inlineStr">
        <is>
          <t>Supabase local đã reset, API dùng api_role; dữ liệu test synthetic độc lập. Không dùng DB deploy.</t>
        </is>
      </c>
      <c r="D9" s="8" t="inlineStr">
        <is>
          <t>1. PUT /me/device-tokens token T cho A hai lần; B PUT T.
2. A PUT token N với previous_fcm_token=T; kiểm android_tokens(A).
3. B DELETE N, rồi A DELETE N hai lần; kiểm DB và android_tokens(A).</t>
        </is>
      </c>
      <c r="E9" s="8" t="inlineStr">
        <is>
          <t>P/F là UUID synthetic mới mỗi lần; ID notification lấy từ DB fixture; giờ 2026-10-20T01:00:00Z.</t>
        </is>
      </c>
      <c r="F9" s="8" t="inlineStr">
        <is>
          <t>PUT lặp 204/một dòng; B 409; refresh chỉ còn N; DELETE khác chủ không xóa; DELETE của A 204 không body; dispatch mới không chọn token đã gỡ.</t>
        </is>
      </c>
      <c r="G9" s="8" t="inlineStr">
        <is>
          <t>Đã chạy tự động: các kiểm tra response và DB nêu ở Expected Result đều pass.</t>
        </is>
      </c>
      <c r="H9" s="7" t="inlineStr">
        <is>
          <t>Pass</t>
        </is>
      </c>
      <c r="I9" s="8" t="inlineStr">
        <is>
          <t>AC1, AC8 · EP (1) · chuyển trạng thái/ownership · test_replay_refresh_logout_and_dispatch_selection__AC1_AC8 · evidence/test-task-integration-final.log</t>
        </is>
      </c>
      <c r="K9" s="9" t="inlineStr">
        <is>
          <t>fcm_token</t>
        </is>
      </c>
      <c r="L9" s="10" t="inlineStr">
        <is>
          <t>Chuỗi không rỗng, không khoảng trắng</t>
        </is>
      </c>
      <c r="M9" s="10" t="inlineStr">
        <is>
          <t>1</t>
        </is>
      </c>
      <c r="N9" s="10" t="inlineStr">
        <is>
          <t>(blank)
a b</t>
        </is>
      </c>
      <c r="O9" s="10" t="inlineStr">
        <is>
          <t>4
5</t>
        </is>
      </c>
      <c r="Q9" s="10" t="inlineStr">
        <is>
          <t>Token đã tồn tại?</t>
        </is>
      </c>
      <c r="R9" s="11" t="inlineStr">
        <is>
          <t>No</t>
        </is>
      </c>
      <c r="S9" s="11" t="inlineStr">
        <is>
          <t>Yes</t>
        </is>
      </c>
      <c r="T9" s="11" t="inlineStr">
        <is>
          <t>Yes</t>
        </is>
      </c>
    </row>
    <row r="10" ht="107" customHeight="1">
      <c r="A10" s="7" t="inlineStr">
        <is>
          <t>TC-FCMTOKEN-02</t>
        </is>
      </c>
      <c r="B10" s="7" t="inlineStr">
        <is>
          <t>Giữ token cũ khi refresh xung đột và bảo vệ token người khác</t>
        </is>
      </c>
      <c r="C10" s="8" t="inlineStr">
        <is>
          <t>Supabase local đã reset, API dùng api_role; dữ liệu test synthetic độc lập. Không dùng DB deploy.</t>
        </is>
      </c>
      <c r="D10" s="8" t="inlineStr">
        <is>
          <t>1. A đăng ký O; B đăng ký T.
2. A PUT T với previous=O: kiểm 409.
3. A PUT N với previous=T; kiểm các dòng device_tokens.</t>
        </is>
      </c>
      <c r="E10" s="8" t="inlineStr">
        <is>
          <t>P/F là UUID synthetic mới mỗi lần; ID notification lấy từ DB fixture; giờ 2026-10-20T01:00:00Z.</t>
        </is>
      </c>
      <c r="F10" s="8" t="inlineStr">
        <is>
          <t>Không chuyển chủ T, O còn sau lỗi; request mới không xóa T của B; cuối cùng O/N thuộc A và T thuộc B.</t>
        </is>
      </c>
      <c r="G10" s="8" t="inlineStr">
        <is>
          <t>Đã chạy tự động: các kiểm tra response và DB nêu ở Expected Result đều pass.</t>
        </is>
      </c>
      <c r="H10" s="7" t="inlineStr">
        <is>
          <t>Pass</t>
        </is>
      </c>
      <c r="I10" s="8" t="inlineStr">
        <is>
          <t>AC1 · EP (1) · chuyển trạng thái/ownership · test_conflicting_refresh_rolls_back_and_foreign_previous_is_preserved__AC1 · evidence/test-task-integration-final.log</t>
        </is>
      </c>
      <c r="K10" s="9" t="inlineStr">
        <is>
          <t>platform</t>
        </is>
      </c>
      <c r="L10" s="10" t="inlineStr">
        <is>
          <t>android</t>
        </is>
      </c>
      <c r="M10" s="10" t="inlineStr">
        <is>
          <t>2</t>
        </is>
      </c>
      <c r="N10" s="10" t="inlineStr">
        <is>
          <t>ios</t>
        </is>
      </c>
      <c r="O10" s="10" t="inlineStr">
        <is>
          <t>6</t>
        </is>
      </c>
      <c r="Q10" s="10" t="inlineStr">
        <is>
          <t>Cùng user?</t>
        </is>
      </c>
      <c r="R10" s="11" t="inlineStr">
        <is>
          <t>-</t>
        </is>
      </c>
      <c r="S10" s="11" t="inlineStr">
        <is>
          <t>Yes</t>
        </is>
      </c>
      <c r="T10" s="11" t="inlineStr">
        <is>
          <t>No</t>
        </is>
      </c>
    </row>
    <row r="11" ht="90.5" customHeight="1">
      <c r="A11" s="7" t="inlineStr">
        <is>
          <t>TC-FCMTOKEN-03</t>
        </is>
      </c>
      <c r="B11" s="7" t="inlineStr">
        <is>
          <t>Từ chối JSON đăng ký token sai contract [body0]</t>
        </is>
      </c>
      <c r="C11" s="8" t="inlineStr">
        <is>
          <t>Supabase local đã reset, API dùng api_role; dữ liệu test synthetic độc lập. Không dùng DB deploy.</t>
        </is>
      </c>
      <c r="D11" s="8" t="inlineStr">
        <is>
          <t>1. Đăng nhập user thường bằng app session.
2. PUT /me/device-tokens với JSON theo Test Data.
3. Kiểm status 422.</t>
        </is>
      </c>
      <c r="E11" s="8" t="inlineStr">
        <is>
          <t>fcm_token=(blank), platform=android</t>
        </is>
      </c>
      <c r="F11" s="8" t="inlineStr">
        <is>
          <t>422 validation; không thêm token hoặc đổi chủ.</t>
        </is>
      </c>
      <c r="G11" s="8" t="inlineStr">
        <is>
          <t>Đã chạy tự động: các kiểm tra response và DB nêu ở Expected Result đều pass.</t>
        </is>
      </c>
      <c r="H11" s="7" t="inlineStr">
        <is>
          <t>Pass</t>
        </is>
      </c>
      <c r="I11" s="8" t="inlineStr">
        <is>
          <t>AC1 · EP (1) · chuyển trạng thái/ownership · test_invalid_registration_is_rejected__AC1[body0] · evidence/test-task-integration-final.log</t>
        </is>
      </c>
      <c r="K11" s="9" t="inlineStr">
        <is>
          <t>previous_fcm_token</t>
        </is>
      </c>
      <c r="L11" s="10" t="inlineStr">
        <is>
          <t>Bỏ qua hoặc chuỗi không rỗng</t>
        </is>
      </c>
      <c r="M11" s="10" t="inlineStr">
        <is>
          <t>3</t>
        </is>
      </c>
      <c r="N11" s="10" t="inlineStr">
        <is>
          <t>Một dấu cách</t>
        </is>
      </c>
      <c r="O11" s="10" t="inlineStr">
        <is>
          <t>7</t>
        </is>
      </c>
      <c r="Q11" s="6" t="inlineStr">
        <is>
          <t>Action</t>
        </is>
      </c>
      <c r="R11" s="5" t="inlineStr">
        <is>
          <t>R1</t>
        </is>
      </c>
      <c r="S11" s="5" t="inlineStr">
        <is>
          <t>R2</t>
        </is>
      </c>
      <c r="T11" s="5" t="inlineStr">
        <is>
          <t>R3</t>
        </is>
      </c>
    </row>
    <row r="12" ht="90.5" customHeight="1">
      <c r="A12" s="7" t="inlineStr">
        <is>
          <t>TC-FCMTOKEN-04</t>
        </is>
      </c>
      <c r="B12" s="7" t="inlineStr">
        <is>
          <t>Từ chối JSON đăng ký token sai contract [body1]</t>
        </is>
      </c>
      <c r="C12" s="8" t="inlineStr">
        <is>
          <t>Supabase local đã reset, API dùng api_role; dữ liệu test synthetic độc lập. Không dùng DB deploy.</t>
        </is>
      </c>
      <c r="D12" s="8" t="inlineStr">
        <is>
          <t>1. Đăng nhập user thường bằng app session.
2. PUT /me/device-tokens với JSON theo Test Data.
3. Kiểm status 422.</t>
        </is>
      </c>
      <c r="E12" s="8" t="inlineStr">
        <is>
          <t>fcm_token="a b", platform=android</t>
        </is>
      </c>
      <c r="F12" s="8" t="inlineStr">
        <is>
          <t>422 validation; không thêm token hoặc đổi chủ.</t>
        </is>
      </c>
      <c r="G12" s="8" t="inlineStr">
        <is>
          <t>Đã chạy tự động: các kiểm tra response và DB nêu ở Expected Result đều pass.</t>
        </is>
      </c>
      <c r="H12" s="7" t="inlineStr">
        <is>
          <t>Pass</t>
        </is>
      </c>
      <c r="I12" s="8" t="inlineStr">
        <is>
          <t>AC1 · EP (1) · chuyển trạng thái/ownership · test_invalid_registration_is_rejected__AC1[body1] · evidence/test-task-integration-final.log</t>
        </is>
      </c>
      <c r="Q12" s="10" t="inlineStr">
        <is>
          <t>PUT 204 một dòng</t>
        </is>
      </c>
      <c r="R12" s="11" t="inlineStr">
        <is>
          <t>X</t>
        </is>
      </c>
      <c r="S12" s="11" t="inlineStr">
        <is>
          <t>X</t>
        </is>
      </c>
      <c r="T12" s="11" t="inlineStr"/>
    </row>
    <row r="13" ht="90.5" customHeight="1">
      <c r="A13" s="7" t="inlineStr">
        <is>
          <t>TC-FCMTOKEN-05</t>
        </is>
      </c>
      <c r="B13" s="7" t="inlineStr">
        <is>
          <t>Từ chối JSON đăng ký token sai contract [body2]</t>
        </is>
      </c>
      <c r="C13" s="8" t="inlineStr">
        <is>
          <t>Supabase local đã reset, API dùng api_role; dữ liệu test synthetic độc lập. Không dùng DB deploy.</t>
        </is>
      </c>
      <c r="D13" s="8" t="inlineStr">
        <is>
          <t>1. Đăng nhập user thường bằng app session.
2. PUT /me/device-tokens với JSON theo Test Data.
3. Kiểm status 422.</t>
        </is>
      </c>
      <c r="E13" s="8" t="inlineStr">
        <is>
          <t>fcm_token="a", platform=ios</t>
        </is>
      </c>
      <c r="F13" s="8" t="inlineStr">
        <is>
          <t>422 validation; không thêm token hoặc đổi chủ.</t>
        </is>
      </c>
      <c r="G13" s="8" t="inlineStr">
        <is>
          <t>Đã chạy tự động: các kiểm tra response và DB nêu ở Expected Result đều pass.</t>
        </is>
      </c>
      <c r="H13" s="7" t="inlineStr">
        <is>
          <t>Pass</t>
        </is>
      </c>
      <c r="I13" s="8" t="inlineStr">
        <is>
          <t>AC1 · EP (1) · chuyển trạng thái/ownership · test_invalid_registration_is_rejected__AC1[body2] · evidence/test-task-integration-final.log</t>
        </is>
      </c>
      <c r="Q13" s="10" t="inlineStr">
        <is>
          <t>PUT 409 không chuyển chủ</t>
        </is>
      </c>
      <c r="R13" s="11" t="inlineStr"/>
      <c r="S13" s="11" t="inlineStr"/>
      <c r="T13" s="11" t="inlineStr">
        <is>
          <t>X</t>
        </is>
      </c>
    </row>
    <row r="14" ht="90.5" customHeight="1">
      <c r="A14" s="7" t="inlineStr">
        <is>
          <t>TC-FCMTOKEN-06</t>
        </is>
      </c>
      <c r="B14" s="7" t="inlineStr">
        <is>
          <t>Từ chối JSON đăng ký token sai contract [body3]</t>
        </is>
      </c>
      <c r="C14" s="8" t="inlineStr">
        <is>
          <t>Supabase local đã reset, API dùng api_role; dữ liệu test synthetic độc lập. Không dùng DB deploy.</t>
        </is>
      </c>
      <c r="D14" s="8" t="inlineStr">
        <is>
          <t>1. Đăng nhập user thường bằng app session.
2. PUT /me/device-tokens với JSON theo Test Data.
3. Kiểm status 422.</t>
        </is>
      </c>
      <c r="E14" s="8" t="inlineStr">
        <is>
          <t>fcm_token="a", platform=android, previous_fcm_token=" "</t>
        </is>
      </c>
      <c r="F14" s="8" t="inlineStr">
        <is>
          <t>422 validation; không thêm token hoặc đổi chủ.</t>
        </is>
      </c>
      <c r="G14" s="8" t="inlineStr">
        <is>
          <t>Đã chạy tự động: các kiểm tra response và DB nêu ở Expected Result đều pass.</t>
        </is>
      </c>
      <c r="H14" s="7" t="inlineStr">
        <is>
          <t>Pass</t>
        </is>
      </c>
      <c r="I14" s="8" t="inlineStr">
        <is>
          <t>AC1 · EP (1) · chuyển trạng thái/ownership · test_invalid_registration_is_rejected__AC1[body3] · evidence/test-task-integration-final.log</t>
        </is>
      </c>
    </row>
    <row r="15" ht="90.5" customHeight="1">
      <c r="A15" s="7" t="inlineStr">
        <is>
          <t>TC-FCMTOKEN-07</t>
        </is>
      </c>
      <c r="B15" s="7" t="inlineStr">
        <is>
          <t>Từ chối JSON đăng ký token sai contract [body4]</t>
        </is>
      </c>
      <c r="C15" s="8" t="inlineStr">
        <is>
          <t>Supabase local đã reset, API dùng api_role; dữ liệu test synthetic độc lập. Không dùng DB deploy.</t>
        </is>
      </c>
      <c r="D15" s="8" t="inlineStr">
        <is>
          <t>1. Đăng nhập user thường bằng app session.
2. PUT /me/device-tokens với JSON theo Test Data.
3. Kiểm status 422.</t>
        </is>
      </c>
      <c r="E15" s="8" t="inlineStr">
        <is>
          <t>fcm_token="a", platform=android, user_id="injected"</t>
        </is>
      </c>
      <c r="F15" s="8" t="inlineStr">
        <is>
          <t>422 validation; không thêm token hoặc đổi chủ.</t>
        </is>
      </c>
      <c r="G15" s="8" t="inlineStr">
        <is>
          <t>Đã chạy tự động: các kiểm tra response và DB nêu ở Expected Result đều pass.</t>
        </is>
      </c>
      <c r="H15" s="7" t="inlineStr">
        <is>
          <t>Pass</t>
        </is>
      </c>
      <c r="I15" s="8" t="inlineStr">
        <is>
          <t>AC1 · EP (1) · chuyển trạng thái/ownership · test_invalid_registration_is_rejected__AC1[body4] · evidence/test-task-integration-final.log</t>
        </is>
      </c>
    </row>
    <row r="16" ht="90.5" customHeight="1">
      <c r="A16" s="7" t="inlineStr">
        <is>
          <t>TC-FCMTOKEN-08</t>
        </is>
      </c>
      <c r="B16" s="7" t="inlineStr">
        <is>
          <t>Đăng ký token tại minLength=1</t>
        </is>
      </c>
      <c r="C16" s="8" t="inlineStr">
        <is>
          <t>Supabase local đã reset, API dùng api_role; dữ liệu test synthetic độc lập. Không dùng DB deploy.</t>
        </is>
      </c>
      <c r="D16" s="8" t="inlineStr">
        <is>
          <t>1. Đăng nhập user mới; PUT /me/device-tokens {fcm_token:"~",platform:"android"}.
2. DELETE /me/device-tokens {fcm_token:"~"} bằng cùng session.</t>
        </is>
      </c>
      <c r="E16" s="8" t="inlineStr">
        <is>
          <t>P/F là UUID synthetic mới mỗi lần; ID notification lấy từ DB fixture; giờ 2026-10-20T01:00:00Z.</t>
        </is>
      </c>
      <c r="F16" s="8" t="inlineStr">
        <is>
          <t>PUT/DELETE 204; body rỗng; fixture token được gỡ sau test.</t>
        </is>
      </c>
      <c r="G16" s="8" t="inlineStr">
        <is>
          <t>Đã chạy tự động: các kiểm tra response và DB nêu ở Expected Result đều pass.</t>
        </is>
      </c>
      <c r="H16" s="7" t="inlineStr">
        <is>
          <t>Pass</t>
        </is>
      </c>
      <c r="I16" s="8" t="inlineStr">
        <is>
          <t>AC1 · EP (1) · chuyển trạng thái/ownership · test_one_character_token_boundary__AC1 · evidence/test-task-integration-final.log</t>
        </is>
      </c>
    </row>
    <row r="17" ht="90.5" customHeight="1">
      <c r="A17" s="7" t="inlineStr">
        <is>
          <t>TC-FCMTOKEN-09</t>
        </is>
      </c>
      <c r="B17" s="7" t="inlineStr">
        <is>
          <t>Từ chối đăng ký/gỡ với session thiếu, hết hạn hoặc admin [PUT]</t>
        </is>
      </c>
      <c r="C17" s="8" t="inlineStr">
        <is>
          <t>Supabase local đã reset, API dùng api_role; dữ liệu test synthetic độc lập. Không dùng DB deploy.</t>
        </is>
      </c>
      <c r="D17" s="8" t="inlineStr">
        <is>
          <t>1. Chuẩn bị JSON token synthetic hợp lệ theo method trong Test Data.
2. Gọi không bearer; gọi bearer mobile phát hành lùi 365 ngày; gọi bearer admin_web.</t>
        </is>
      </c>
      <c r="E17" s="8" t="inlineStr">
        <is>
          <t>PUT</t>
        </is>
      </c>
      <c r="F17" s="8" t="inlineStr">
        <is>
          <t>Lần lượt 401, 401, 403; không thay token người dùng.</t>
        </is>
      </c>
      <c r="G17" s="8" t="inlineStr">
        <is>
          <t>Đã chạy tự động: các kiểm tra response và DB nêu ở Expected Result đều pass.</t>
        </is>
      </c>
      <c r="H17" s="7" t="inlineStr">
        <is>
          <t>Pass</t>
        </is>
      </c>
      <c r="I17" s="8" t="inlineStr">
        <is>
          <t>AC1, AC8 · EP (1) · chuyển trạng thái/ownership · test_missing_expired_and_admin_sessions_rejected__AC1_AC8[PUT] · evidence/test-task-integration-final.log</t>
        </is>
      </c>
    </row>
    <row r="18" ht="107" customHeight="1">
      <c r="A18" s="7" t="inlineStr">
        <is>
          <t>TC-FCMTOKEN-10</t>
        </is>
      </c>
      <c r="B18" s="7" t="inlineStr">
        <is>
          <t>Từ chối đăng ký/gỡ với session thiếu, hết hạn hoặc admin [DELETE]</t>
        </is>
      </c>
      <c r="C18" s="8" t="inlineStr">
        <is>
          <t>Supabase local đã reset, API dùng api_role; dữ liệu test synthetic độc lập. Không dùng DB deploy.</t>
        </is>
      </c>
      <c r="D18" s="8" t="inlineStr">
        <is>
          <t>1. Chuẩn bị JSON token synthetic hợp lệ theo method trong Test Data.
2. Gọi không bearer; gọi bearer mobile phát hành lùi 365 ngày; gọi bearer admin_web.</t>
        </is>
      </c>
      <c r="E18" s="8" t="inlineStr">
        <is>
          <t>DELETE</t>
        </is>
      </c>
      <c r="F18" s="8" t="inlineStr">
        <is>
          <t>Lần lượt 401, 401, 403; không thay token người dùng.</t>
        </is>
      </c>
      <c r="G18" s="8" t="inlineStr">
        <is>
          <t>Đã chạy tự động: các kiểm tra response và DB nêu ở Expected Result đều pass.</t>
        </is>
      </c>
      <c r="H18" s="7" t="inlineStr">
        <is>
          <t>Pass</t>
        </is>
      </c>
      <c r="I18" s="8" t="inlineStr">
        <is>
          <t>AC1, AC8 · EP (1) · chuyển trạng thái/ownership · test_missing_expired_and_admin_sessions_rejected__AC1_AC8[DELETE] · evidence/test-task-integration-final.log</t>
        </is>
      </c>
    </row>
    <row r="19" ht="123.5" customHeight="1">
      <c r="A19" s="7" t="inlineStr">
        <is>
          <t>TC-FCMTOKEN-11</t>
        </is>
      </c>
      <c r="B19" s="7" t="inlineStr">
        <is>
          <t>Tranh chấp đăng ký cùng token giữa hai transaction [False]</t>
        </is>
      </c>
      <c r="C19" s="8" t="inlineStr">
        <is>
          <t>Supabase local đã reset, API dùng api_role; dữ liệu test synthetic độc lập. Không dùng DB deploy.</t>
        </is>
      </c>
      <c r="D19" s="8" t="inlineStr">
        <is>
          <t>1. Giữ transaction A đã INSERT token T nhưng chưa commit.
2. Thread B PUT T bằng session cùng/khác user theo Test Data; chờ pg_stat_activity xác nhận chờ Lock.
3. Commit A, lấy response B và SELECT chủ token T.</t>
        </is>
      </c>
      <c r="E19" s="8" t="inlineStr">
        <is>
          <t>False</t>
        </is>
      </c>
      <c r="F19" s="8" t="inlineStr">
        <is>
          <t>Chỉ một dòng thuộc A; B cùng user 204, khác user 409; không deadlock.</t>
        </is>
      </c>
      <c r="G19" s="8" t="inlineStr">
        <is>
          <t>Đã chạy tự động: các kiểm tra response và DB nêu ở Expected Result đều pass.</t>
        </is>
      </c>
      <c r="H19" s="7" t="inlineStr">
        <is>
          <t>Pass</t>
        </is>
      </c>
      <c r="I19" s="8" t="inlineStr">
        <is>
          <t>AC1 · EP (1) · chuyển trạng thái/ownership · test_concurrent_registration_serializes_absent_token__AC1[False] · evidence/test-task-integration-final.log</t>
        </is>
      </c>
    </row>
    <row r="20" ht="123.5" customHeight="1">
      <c r="A20" s="7" t="inlineStr">
        <is>
          <t>TC-FCMTOKEN-12</t>
        </is>
      </c>
      <c r="B20" s="7" t="inlineStr">
        <is>
          <t>Tranh chấp đăng ký cùng token giữa hai transaction [True]</t>
        </is>
      </c>
      <c r="C20" s="8" t="inlineStr">
        <is>
          <t>Supabase local đã reset, API dùng api_role; dữ liệu test synthetic độc lập. Không dùng DB deploy.</t>
        </is>
      </c>
      <c r="D20" s="8" t="inlineStr">
        <is>
          <t>1. Giữ transaction A đã INSERT token T nhưng chưa commit.
2. Thread B PUT T bằng session cùng/khác user theo Test Data; chờ pg_stat_activity xác nhận chờ Lock.
3. Commit A, lấy response B và SELECT chủ token T.</t>
        </is>
      </c>
      <c r="E20" s="8" t="inlineStr">
        <is>
          <t>True</t>
        </is>
      </c>
      <c r="F20" s="8" t="inlineStr">
        <is>
          <t>Chỉ một dòng thuộc A; B cùng user 204, khác user 409; không deadlock.</t>
        </is>
      </c>
      <c r="G20" s="8" t="inlineStr">
        <is>
          <t>Đã chạy tự động: các kiểm tra response và DB nêu ở Expected Result đều pass.</t>
        </is>
      </c>
      <c r="H20" s="7" t="inlineStr">
        <is>
          <t>Pass</t>
        </is>
      </c>
      <c r="I20" s="8" t="inlineStr">
        <is>
          <t>AC1 · EP (1) · chuyển trạng thái/ownership · test_concurrent_registration_serializes_absent_token__AC1[True] · evidence/test-task-integration-final.log</t>
        </is>
      </c>
    </row>
    <row r="21" ht="107" customHeight="1">
      <c r="A21" s="7" t="inlineStr">
        <is>
          <t>TC-FCMTOKEN-13</t>
        </is>
      </c>
      <c r="B21" s="7" t="inlineStr">
        <is>
          <t>Hoàn tất cleanup đang chờ refresh commit</t>
        </is>
      </c>
      <c r="C21" s="8" t="inlineStr">
        <is>
          <t>Supabase local đã reset, API dùng api_role; dữ liệu test synthetic độc lập. Không dùng DB deploy.</t>
        </is>
      </c>
      <c r="D21" s="8" t="inlineStr">
        <is>
          <t>1. Transaction giữ O rồi thay bằng N, chưa commit.
2. Thread HTTP DELETE N của cùng owner; chờ DB xác nhận lock wait.
3. Commit refresh rồi chờ DELETE; SELECT device_tokens theo user.</t>
        </is>
      </c>
      <c r="E21" s="8" t="inlineStr">
        <is>
          <t>P/F là UUID synthetic mới mỗi lần; ID notification lấy từ DB fixture; giờ 2026-10-20T01:00:00Z.</t>
        </is>
      </c>
      <c r="F21" s="8" t="inlineStr">
        <is>
          <t>DELETE 204, không còn O/N sau cleanup; đây chỉ chứng minh thứ tự server, chưa chứng minh FCM thiết bị.</t>
        </is>
      </c>
      <c r="G21" s="8" t="inlineStr">
        <is>
          <t>Đã chạy tự động: các kiểm tra response và DB nêu ở Expected Result đều pass.</t>
        </is>
      </c>
      <c r="H21" s="7" t="inlineStr">
        <is>
          <t>Pass</t>
        </is>
      </c>
      <c r="I21" s="8" t="inlineStr">
        <is>
          <t>AC1, AC8 · EP (1) · chuyển trạng thái/ownership · test_concurrent_refresh_then_cleanup_has_no_token_left__AC1_AC8 · evidence/test-task-integration-final.log</t>
        </is>
      </c>
    </row>
    <row r="22"/>
    <row r="23"/>
    <row r="24">
      <c r="G24" s="12" t="inlineStr">
        <is>
          <t>Pass</t>
        </is>
      </c>
      <c r="H24" s="13">
        <f>COUNTIF(H9:H21,"Pass")</f>
        <v/>
      </c>
    </row>
    <row r="25">
      <c r="G25" s="12" t="inlineStr">
        <is>
          <t>Fail</t>
        </is>
      </c>
      <c r="H25" s="13">
        <f>COUNTIF(H9:H21,"Fail")</f>
        <v/>
      </c>
    </row>
    <row r="26">
      <c r="G26" s="12" t="inlineStr">
        <is>
          <t>Pending</t>
        </is>
      </c>
      <c r="H26" s="13">
        <f>COUNTIF(H9:H21,"Pending")</f>
        <v/>
      </c>
    </row>
    <row r="27">
      <c r="G27" s="12" t="inlineStr">
        <is>
          <t>Total</t>
        </is>
      </c>
      <c r="H27" s="13">
        <f>SUM(H24:H26)</f>
        <v/>
      </c>
    </row>
  </sheetData>
  <autoFilter ref="A8:I21"/>
  <conditionalFormatting sqref="H9:H21">
    <cfRule type="cellIs" priority="1" operator="equal" dxfId="0">
      <formula>"Fail"</formula>
    </cfRule>
  </conditionalFormatting>
  <dataValidations count="1">
    <dataValidation sqref="H9:H21" showDropDown="0" showInputMessage="0" showErrorMessage="0" allowBlank="0" type="list">
      <formula1>"Pass,Fail,Pending"</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3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Kiểm thử xuyên hệ thống gửi yêu cầu liên kết (REDEEMFLOW)</t>
        </is>
      </c>
    </row>
    <row r="3">
      <c r="A3" s="1" t="inlineStr">
        <is>
          <t>Created By</t>
        </is>
      </c>
      <c r="B3" s="2" t="inlineStr">
        <is>
          <t>phucnguyenngoc</t>
        </is>
      </c>
    </row>
    <row r="4">
      <c r="A4" s="1" t="inlineStr">
        <is>
          <t>Creation Date</t>
        </is>
      </c>
      <c r="B4" s="21" t="n">
        <v>46318</v>
      </c>
    </row>
    <row r="5">
      <c r="A5" s="1" t="inlineStr">
        <is>
          <t>Reviewed By</t>
        </is>
      </c>
      <c r="B5" s="2" t="inlineStr"/>
    </row>
    <row r="6">
      <c r="A6" s="1" t="inlineStr">
        <is>
          <t>Reviewed Date</t>
        </is>
      </c>
      <c r="B6" s="2" t="n"/>
    </row>
    <row r="7">
      <c r="K7" s="4" t="inlineStr">
        <is>
          <t>Equivalence Partitioning</t>
        </is>
      </c>
      <c r="Q7" s="4" t="inlineStr">
        <is>
          <t>Quyền đọc schedules sau redeem</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74" customHeight="1">
      <c r="A9" s="7" t="inlineStr">
        <is>
          <t>TC-REDEEMFLOW-01</t>
        </is>
      </c>
      <c r="B9" s="7" t="inlineStr">
        <is>
          <t>Nhập mã qua Mobile để tạo yêu cầu pending</t>
        </is>
      </c>
      <c r="C9" s="8" t="inlineStr">
        <is>
          <t>Supabase local và Android LM_G710 qua ADB; patient có family_sharing; family đăng nhập trong gói test riêng.</t>
        </is>
      </c>
      <c r="D9" s="8" t="inlineStr">
        <is>
          <t>1. Chạy run_e2e.py --phase direct_pending.
2. Mở tab Người thân, chọn nhập mã và bấm gửi.
3. Đối chiếu response POST với caregiver_links và schedules.</t>
        </is>
      </c>
      <c r="E9" s="8" t="inlineStr">
        <is>
          <t>code=body.code của GET /family/link-code; client_uuid=UUID v4 do Mobile tạo</t>
        </is>
      </c>
      <c r="F9" s="8" t="inlineStr">
        <is>
          <t>POST 201 {id,status=pending,requested_at}; một link pending, sharing_enabled=false; UI chờ; schedules 403 và denied log.</t>
        </is>
      </c>
      <c r="G9" s="8" t="inlineStr">
        <is>
          <t>PASS direct_pending: UI/API/DB, schedules 403 và denied log; evidence/test-android-direct-id-fix.log.</t>
        </is>
      </c>
      <c r="H9" s="7" t="inlineStr">
        <is>
          <t>Pass</t>
        </is>
      </c>
      <c r="I9" s="8" t="inlineStr">
        <is>
          <t>AC1, AC3 · EP (1) · direct_pending</t>
        </is>
      </c>
      <c r="K9" s="9" t="inlineStr">
        <is>
          <t>code</t>
        </is>
      </c>
      <c r="L9" s="10" t="inlineStr">
        <is>
          <t>Mã 10 ký tự lấy từ GET /family/link-code</t>
        </is>
      </c>
      <c r="M9" s="10" t="inlineStr">
        <is>
          <t>1</t>
        </is>
      </c>
      <c r="N9" s="10" t="inlineStr">
        <is>
          <t>Mã 10 ký tự không tồn tại
Mã dài 9 hoặc 11 ký tự
Mã của chính người gửi</t>
        </is>
      </c>
      <c r="O9" s="10" t="inlineStr">
        <is>
          <t>5
6
7</t>
        </is>
      </c>
      <c r="Q9" s="10" t="inlineStr">
        <is>
          <t>Link active?</t>
        </is>
      </c>
      <c r="R9" s="11" t="inlineStr">
        <is>
          <t>No</t>
        </is>
      </c>
      <c r="S9" s="11" t="inlineStr">
        <is>
          <t>Yes</t>
        </is>
      </c>
      <c r="T9" s="11" t="inlineStr">
        <is>
          <t>Yes</t>
        </is>
      </c>
      <c r="U9" s="11" t="inlineStr">
        <is>
          <t>Yes</t>
        </is>
      </c>
    </row>
    <row r="10" ht="74" customHeight="1">
      <c r="A10" s="7" t="inlineStr">
        <is>
          <t>TC-REDEEMFLOW-02</t>
        </is>
      </c>
      <c r="B10" s="7" t="inlineStr">
        <is>
          <t>Quét QR hợp lệ và chờ xác nhận trước khi gửi</t>
        </is>
      </c>
      <c r="C10" s="8" t="inlineStr">
        <is>
          <t>Patient đã lấy qr_payload từ API; family ở màn quét QR.</t>
        </is>
      </c>
      <c r="D10" s="8" t="inlineStr">
        <is>
          <t>1. Cấp qr_payload cho scanner callback.
2. Kiểm số POST trước khi bấm xác nhận.
3. Bấm xác nhận và kiểm pending.</t>
        </is>
      </c>
      <c r="E10" s="8" t="inlineStr">
        <is>
          <t>qr_payload=body.qr_payload của GET /family/link-code</t>
        </is>
      </c>
      <c r="F10" s="8" t="inlineStr">
        <is>
          <t>Mã được điền; 0 POST trước xác nhận; sau xác nhận một POST 201 và một pending.</t>
        </is>
      </c>
      <c r="G10" s="8" t="inlineStr">
        <is>
          <t>Widget và Android LM_G710: 1 POST trước xác nhận (Expected 0, Actual 1); evidence/test-widget-redeem.log và evidence/test-android-remaining-phases.log.</t>
        </is>
      </c>
      <c r="H10" s="7" t="inlineStr">
        <is>
          <t>Fail</t>
        </is>
      </c>
      <c r="I10" s="8" t="inlineStr">
        <is>
          <t>AC2, AC11 · EP (1) · QR valid · F1</t>
        </is>
      </c>
      <c r="K10" s="9" t="inlineStr">
        <is>
          <t>client_uuid</t>
        </is>
      </c>
      <c r="L10" s="10" t="inlineStr">
        <is>
          <t>UUID v4 mới
UUID v4 đã gửi thành công</t>
        </is>
      </c>
      <c r="M10" s="10" t="inlineStr">
        <is>
          <t>2
3</t>
        </is>
      </c>
      <c r="N10" s="10" t="inlineStr">
        <is>
          <t>Thiếu client_uuid
Chuỗi không phải UUID</t>
        </is>
      </c>
      <c r="O10" s="10" t="inlineStr">
        <is>
          <t>8
9</t>
        </is>
      </c>
      <c r="Q10" s="10" t="inlineStr">
        <is>
          <t>Consent family_sharing còn?</t>
        </is>
      </c>
      <c r="R10" s="11" t="inlineStr">
        <is>
          <t>-</t>
        </is>
      </c>
      <c r="S10" s="11" t="inlineStr">
        <is>
          <t>No</t>
        </is>
      </c>
      <c r="T10" s="11" t="inlineStr">
        <is>
          <t>Yes</t>
        </is>
      </c>
      <c r="U10" s="11" t="inlineStr">
        <is>
          <t>Yes</t>
        </is>
      </c>
    </row>
    <row r="11" ht="74" customHeight="1">
      <c r="A11" s="7" t="inlineStr">
        <is>
          <t>TC-REDEEMFLOW-03</t>
        </is>
      </c>
      <c r="B11" s="7" t="inlineStr">
        <is>
          <t>Từ chối QR payload sai mà không gửi redeem</t>
        </is>
      </c>
      <c r="C11" s="8" t="inlineStr">
        <is>
          <t>Family ở màn quét QR.</t>
        </is>
      </c>
      <c r="D11" s="8" t="inlineStr">
        <is>
          <t>1. Cấp chuỗi invalid cho scanner callback.
2. Kiểm thông báo và số POST.</t>
        </is>
      </c>
      <c r="E11" s="8" t="inlineStr">
        <is>
          <t>qr_payload=invalid</t>
        </is>
      </c>
      <c r="F11" s="8" t="inlineStr">
        <is>
          <t>Hiện lỗi QR, còn ở màn quét, 0 POST.</t>
        </is>
      </c>
      <c r="G11" s="8" t="inlineStr">
        <is>
          <t>Widget và Android LM_G710 QR sai pass, 0 POST; evidence/test-widget-redeem.log và evidence/test-android-remaining-phases.log.</t>
        </is>
      </c>
      <c r="H11" s="7" t="inlineStr">
        <is>
          <t>Pass</t>
        </is>
      </c>
      <c r="I11" s="8" t="inlineStr">
        <is>
          <t>AC2, AC5 · EP (2) · qr_invalid</t>
        </is>
      </c>
      <c r="K11" s="9" t="inlineStr">
        <is>
          <t>phiên</t>
        </is>
      </c>
      <c r="L11" s="10" t="inlineStr">
        <is>
          <t>Phiên mobile của người thân</t>
        </is>
      </c>
      <c r="M11" s="10" t="inlineStr">
        <is>
          <t>4</t>
        </is>
      </c>
      <c r="N11" s="10" t="inlineStr">
        <is>
          <t>Không có bearer
Phiên của admin</t>
        </is>
      </c>
      <c r="O11" s="10" t="inlineStr">
        <is>
          <t>10
11</t>
        </is>
      </c>
      <c r="Q11" s="10" t="inlineStr">
        <is>
          <t>sharing_enabled?</t>
        </is>
      </c>
      <c r="R11" s="11" t="inlineStr">
        <is>
          <t>-</t>
        </is>
      </c>
      <c r="S11" s="11" t="inlineStr">
        <is>
          <t>-</t>
        </is>
      </c>
      <c r="T11" s="11" t="inlineStr">
        <is>
          <t>No</t>
        </is>
      </c>
      <c r="U11" s="11" t="inlineStr">
        <is>
          <t>Yes</t>
        </is>
      </c>
    </row>
    <row r="12" ht="57.5" customHeight="1">
      <c r="A12" s="7" t="inlineStr">
        <is>
          <t>TC-REDEEMFLOW-04</t>
        </is>
      </c>
      <c r="B12" s="7" t="inlineStr">
        <is>
          <t>Từ chối đọc lịch thuốc khi liên kết còn pending</t>
        </is>
      </c>
      <c r="C12" s="8" t="inlineStr">
        <is>
          <t>Family vừa POST redeem thành công, link đang pending.</t>
        </is>
      </c>
      <c r="D12" s="8" t="inlineStr">
        <is>
          <t>1. Gọi GET /patients/{patient_id}/schedules với bearer của family.
2. Đọc access_logs cho cặp actor/patient.</t>
        </is>
      </c>
      <c r="E12" s="8" t="inlineStr">
        <is>
          <t>patient_id=UUID patient của mã vừa redeem</t>
        </is>
      </c>
      <c r="F12" s="8" t="inlineStr">
        <is>
          <t>403 {detail:khong_co_quyen}, không có lịch thuốc; denied log tồn tại.</t>
        </is>
      </c>
      <c r="G12" s="8" t="inlineStr">
        <is>
          <t>test_pending_link_grants_no_access__AC2 pass trong evidence/test-redeem-pep-targeted.log.</t>
        </is>
      </c>
      <c r="H12" s="7" t="inlineStr">
        <is>
          <t>Pass</t>
        </is>
      </c>
      <c r="I12" s="8" t="inlineStr">
        <is>
          <t>AC3, AC9 · Decision Table (R1)</t>
        </is>
      </c>
      <c r="Q12" s="6" t="inlineStr">
        <is>
          <t>Action</t>
        </is>
      </c>
      <c r="R12" s="5" t="inlineStr">
        <is>
          <t>R1</t>
        </is>
      </c>
      <c r="S12" s="5" t="inlineStr">
        <is>
          <t>R2</t>
        </is>
      </c>
      <c r="T12" s="5" t="inlineStr">
        <is>
          <t>R3</t>
        </is>
      </c>
      <c r="U12" s="5" t="inlineStr">
        <is>
          <t>R4</t>
        </is>
      </c>
    </row>
    <row r="13" ht="74" customHeight="1">
      <c r="A13" s="7" t="inlineStr">
        <is>
          <t>TC-REDEEMFLOW-05</t>
        </is>
      </c>
      <c r="B13" s="7" t="inlineStr">
        <is>
          <t>Gửi lại cùng client_uuid sau khi server đã lưu</t>
        </is>
      </c>
      <c r="C13" s="8" t="inlineStr">
        <is>
          <t>POST đầu đã tạo pending; family giữ UUID cũ.</t>
        </is>
      </c>
      <c r="D13" s="8" t="inlineStr">
        <is>
          <t>1. Gửi lại POST /family/link-requests cùng code và client_uuid.
2. Đếm caregiver_links.</t>
        </is>
      </c>
      <c r="E13" s="8" t="inlineStr">
        <is>
          <t>client_uuid=11111111-1111-4111-8111-111111111111, dùng lại ở lần hai</t>
        </is>
      </c>
      <c r="F13" s="8" t="inlineStr">
        <is>
          <t>Lần đầu 201, lần sau 200 cùng id/created_at; DB chỉ một link.</t>
        </is>
      </c>
      <c r="G13" s="8" t="inlineStr">
        <is>
          <t>test_replay_200_current_status__AC29 và test_concurrent_same_client_uuid_201_and_200__AC31 pass trong evidence/test-redeem-pep-targeted.log.</t>
        </is>
      </c>
      <c r="H13" s="7" t="inlineStr">
        <is>
          <t>Pass</t>
        </is>
      </c>
      <c r="I13" s="8" t="inlineStr">
        <is>
          <t>AC4 · EP (2) · state pending→pending</t>
        </is>
      </c>
      <c r="Q13" s="10" t="inlineStr">
        <is>
          <t>403 + access_logs denied</t>
        </is>
      </c>
      <c r="R13" s="11" t="inlineStr">
        <is>
          <t>X</t>
        </is>
      </c>
      <c r="S13" s="11" t="inlineStr">
        <is>
          <t>X</t>
        </is>
      </c>
      <c r="T13" s="11" t="inlineStr">
        <is>
          <t>X</t>
        </is>
      </c>
      <c r="U13" s="11" t="inlineStr"/>
    </row>
    <row r="14" ht="74" customHeight="1">
      <c r="A14" s="7" t="inlineStr">
        <is>
          <t>TC-REDEEMFLOW-06</t>
        </is>
      </c>
      <c r="B14" s="7" t="inlineStr">
        <is>
          <t>Chặn request redeem không có phiên và phiên admin</t>
        </is>
      </c>
      <c r="C14" s="8" t="inlineStr">
        <is>
          <t>Patient có mã; chưa có link với family.</t>
        </is>
      </c>
      <c r="D14" s="8" t="inlineStr">
        <is>
          <t>1. POST /family/link-requests không có Authorization.
2. POST cùng body bằng phiên admin.
3. Đếm caregiver_links.</t>
        </is>
      </c>
      <c r="E14" s="8" t="inlineStr">
        <is>
          <t>code=body.code; client_uuid=22222222-2222-4222-8222-222222222222</t>
        </is>
      </c>
      <c r="F14" s="8" t="inlineStr">
        <is>
          <t>Không phiên 401, admin 403; không tạo link.</t>
        </is>
      </c>
      <c r="G14" s="8" t="inlineStr">
        <is>
          <t>test_unauthenticated_401__AC3 và test_admin_403__AC16 pass trong evidence/test-redeem-pep-targeted.log.</t>
        </is>
      </c>
      <c r="H14" s="7" t="inlineStr">
        <is>
          <t>Pass</t>
        </is>
      </c>
      <c r="I14" s="8" t="inlineStr">
        <is>
          <t>AC5 · EP (2,3)</t>
        </is>
      </c>
      <c r="Q14" s="10" t="inlineStr">
        <is>
          <t>200 + access_logs allowed</t>
        </is>
      </c>
      <c r="R14" s="11" t="inlineStr"/>
      <c r="S14" s="11" t="inlineStr"/>
      <c r="T14" s="11" t="inlineStr"/>
      <c r="U14" s="11" t="inlineStr">
        <is>
          <t>X</t>
        </is>
      </c>
    </row>
    <row r="15" ht="74" customHeight="1">
      <c r="A15" s="7" t="inlineStr">
        <is>
          <t>TC-REDEEMFLOW-07</t>
        </is>
      </c>
      <c r="B15" s="7" t="inlineStr">
        <is>
          <t>Báo mã không tồn tại và mã của chính mình</t>
        </is>
      </c>
      <c r="C15" s="8" t="inlineStr">
        <is>
          <t>Patient có mã của mình và bearer mobile.</t>
        </is>
      </c>
      <c r="D15" s="8" t="inlineStr">
        <is>
          <t>1. Gửi mã 10 ký tự không tồn tại bằng family khác.
2. Gửi mã thật bằng chính patient.
3. Kiểm DB.</t>
        </is>
      </c>
      <c r="E15" s="8" t="inlineStr">
        <is>
          <t>code_sai=AAAAAAAAAA; code_self=body.code; UUID v4 mới mỗi request</t>
        </is>
      </c>
      <c r="F15" s="8" t="inlineStr">
        <is>
          <t>Mã không tồn tại 404 link_code_not_found; tự liên kết 422 self_link_not_allowed; không link.</t>
        </is>
      </c>
      <c r="G15" s="8" t="inlineStr">
        <is>
          <t>test_unknown_code_404_counted__AC4 và test_self_code_422__AC5 pass trong evidence/test-redeem-pep-targeted.log.</t>
        </is>
      </c>
      <c r="H15" s="7" t="inlineStr">
        <is>
          <t>Pass</t>
        </is>
      </c>
      <c r="I15" s="8" t="inlineStr">
        <is>
          <t>AC5 · EP (2,4)</t>
        </is>
      </c>
    </row>
    <row r="16" ht="90.5" customHeight="1">
      <c r="A16" s="7" t="inlineStr">
        <is>
          <t>TC-REDEEMFLOW-08</t>
        </is>
      </c>
      <c r="B16" s="7" t="inlineStr">
        <is>
          <t>Từ chối body mã sai độ dài và UUID không hợp lệ</t>
        </is>
      </c>
      <c r="C16" s="8" t="inlineStr">
        <is>
          <t>Family có bearer mobile; chưa có link.</t>
        </is>
      </c>
      <c r="D16" s="8" t="inlineStr">
        <is>
          <t>1. POST code dài 9 ký tự.
2. POST code dài 11 ký tự.
3. POST thiếu client_uuid hoặc không phải UUID.
4. Kiểm DB.</t>
        </is>
      </c>
      <c r="E16" s="8" t="inlineStr">
        <is>
          <t>code=K7M2Q9XAR (9), K7M2Q9XAR44 (11); client_uuid=(blank), not-a-uuid</t>
        </is>
      </c>
      <c r="F16" s="8" t="inlineStr">
        <is>
          <t>Mỗi body 422 ValidationError; không tạo link hoặc tính lượt sai mã.</t>
        </is>
      </c>
      <c r="G16" s="8" t="inlineStr">
        <is>
          <t>test_validation_422_not_counted__AC20 parametrized pass trong evidence/test-redeem-pep-targeted.log.</t>
        </is>
      </c>
      <c r="H16" s="7" t="inlineStr">
        <is>
          <t>Pass</t>
        </is>
      </c>
      <c r="I16" s="8" t="inlineStr">
        <is>
          <t>AC5 · EP (3,4) · BVA (9,10,11)</t>
        </is>
      </c>
    </row>
    <row r="17" ht="57.5" customHeight="1">
      <c r="A17" s="7" t="inlineStr">
        <is>
          <t>TC-REDEEMFLOW-09</t>
        </is>
      </c>
      <c r="B17" s="7" t="inlineStr">
        <is>
          <t>Chặn UUID mới khi cặp đang pending hoặc active</t>
        </is>
      </c>
      <c r="C17" s="8" t="inlineStr">
        <is>
          <t>Family/patient có link pending hoặc active.</t>
        </is>
      </c>
      <c r="D17" s="8" t="inlineStr">
        <is>
          <t>1. POST cùng code bằng client_uuid mới.
2. Kiểm status/body và số row.</t>
        </is>
      </c>
      <c r="E17" s="8" t="inlineStr">
        <is>
          <t>code=body.code; client_uuid mới=33333333-3333-4333-8333-333333333333</t>
        </is>
      </c>
      <c r="F17" s="8" t="inlineStr">
        <is>
          <t>409 link_request_pending hoặc already_linked; không thêm row.</t>
        </is>
      </c>
      <c r="G17" s="8" t="inlineStr">
        <is>
          <t>test_open_pair_409__AC6 parametrized pass trong evidence/test-redeem-pep-targeted.log.</t>
        </is>
      </c>
      <c r="H17" s="7" t="inlineStr">
        <is>
          <t>Pass</t>
        </is>
      </c>
      <c r="I17" s="8" t="inlineStr">
        <is>
          <t>AC6 · state pending/active→không thêm</t>
        </is>
      </c>
    </row>
    <row r="18" ht="90.5" customHeight="1">
      <c r="A18" s="7" t="inlineStr">
        <is>
          <t>TC-REDEEMFLOW-10</t>
        </is>
      </c>
      <c r="B18" s="7" t="inlineStr">
        <is>
          <t>Rút rồi cấp lại family_sharing và dùng mã cũ</t>
        </is>
      </c>
      <c r="C18" s="8" t="inlineStr">
        <is>
          <t>Patient và family riêng, patient từng lấy mã qua API.</t>
        </is>
      </c>
      <c r="D18" s="8" t="inlineStr">
        <is>
          <t>1. POST /consents/family_sharing/withdraw.
2. Family POST redeem bằng mã cũ.
3. POST /consents cấp lại.
4. GET /family/link-code và POST redeem bằng mã cũ.</t>
        </is>
      </c>
      <c r="E18" s="8" t="inlineStr">
        <is>
          <t>purpose=family_sharing; document_version=2026-10-v1; code=body.code ban đầu</t>
        </is>
      </c>
      <c r="F18" s="8" t="inlineStr">
        <is>
          <t>Sau rút: 404 như mã sai, 0 link. Sau cấp lại: mã không đổi, POST 201 pending.</t>
        </is>
      </c>
      <c r="G18" s="8" t="inlineStr">
        <is>
          <t>test_owner_regrant_via_api_reuses_code_and_redeems__AC7 pass trong evidence/test-redeem-acceptance.log.</t>
        </is>
      </c>
      <c r="H18" s="7" t="inlineStr">
        <is>
          <t>Pass</t>
        </is>
      </c>
      <c r="I18" s="8" t="inlineStr">
        <is>
          <t>AC7 · state consent granted→withdrawn→granted</t>
        </is>
      </c>
    </row>
    <row r="19" ht="74" customHeight="1">
      <c r="A19" s="7" t="inlineStr">
        <is>
          <t>TC-REDEEMFLOW-11</t>
        </is>
      </c>
      <c r="B19" s="7" t="inlineStr">
        <is>
          <t>Khóa sau năm mã sai và mở đúng hạn 15 phút</t>
        </is>
      </c>
      <c r="C19" s="8" t="inlineStr">
        <is>
          <t>Family chưa có liên kết; đồng hồ test cố định.</t>
        </is>
      </c>
      <c r="D19" s="8" t="inlineStr">
        <is>
          <t>1. Gửi 5 mã sai trong 15 phút.
2. Gửi mã đúng ngay trước hết hạn.
3. Gửi lại đúng mốc hết hạn.</t>
        </is>
      </c>
      <c r="E19" s="8" t="inlineStr">
        <is>
          <t>5 mã sai 10 ký tự; mốc thứ năm T; thử tại T+14:59.5 và T+15:00</t>
        </is>
      </c>
      <c r="F19" s="8" t="inlineStr">
        <is>
          <t>Trước hạn 429 link_request_locked + Retry-After; đúng hạn 201; không khóa patient.</t>
        </is>
      </c>
      <c r="G19" s="8" t="inlineStr">
        <is>
          <t>test_fifth_failure_locks_then_unlocks__AC10 và test_locked_family_does_not_block_patient_code__AC15 pass trong evidence/test-redeem-pep-targeted.log.</t>
        </is>
      </c>
      <c r="H19" s="7" t="inlineStr">
        <is>
          <t>Pass</t>
        </is>
      </c>
      <c r="I19" s="8" t="inlineStr">
        <is>
          <t>AC8 · BVA (4,5,6; T+14:59.5,T+15:00)</t>
        </is>
      </c>
    </row>
    <row r="20" ht="57.5" customHeight="1">
      <c r="A20" s="7" t="inlineStr">
        <is>
          <t>TC-REDEEMFLOW-12</t>
        </is>
      </c>
      <c r="B20" s="7" t="inlineStr">
        <is>
          <t>Áp quota mười request theo ngày VN và mở ở 00:00</t>
        </is>
      </c>
      <c r="C20" s="8" t="inlineStr">
        <is>
          <t>Family có 10 request thành công trong ngày VN hiện tại.</t>
        </is>
      </c>
      <c r="D20" s="8" t="inlineStr">
        <is>
          <t>1. Thử request thứ 11 tại 23:59:59 VN.
2. Kiểm DB không thêm.
3. Thử lại 00:00:00 VN.</t>
        </is>
      </c>
      <c r="E20" s="8" t="inlineStr">
        <is>
          <t>10 link linked_at trong cùng ngày VN; T=23:59:59 và 00:00:00 VN</t>
        </is>
      </c>
      <c r="F20" s="8" t="inlineStr">
        <is>
          <t>Trước 00:00 trả 429 link_request_daily_limit, Retry-After=1; tại 00:00 trả 201.</t>
        </is>
      </c>
      <c r="G20" s="8" t="inlineStr">
        <is>
          <t>test_daily_quota_last_second_and_midnight_vn__AC8 pass trong evidence/test-redeem-acceptance.log.</t>
        </is>
      </c>
      <c r="H20" s="7" t="inlineStr">
        <is>
          <t>Pass</t>
        </is>
      </c>
      <c r="I20" s="8" t="inlineStr">
        <is>
          <t>AC8 · BVA (9,10,11; 23:59:59,00:00:00)</t>
        </is>
      </c>
    </row>
    <row r="21" ht="74" customHeight="1">
      <c r="A21" s="7" t="inlineStr">
        <is>
          <t>TC-REDEEMFLOW-13</t>
        </is>
      </c>
      <c r="B21" s="7" t="inlineStr">
        <is>
          <t>Chặn cặp sau năm lần từ chối và mở đúng 24 giờ</t>
        </is>
      </c>
      <c r="C21" s="8" t="inlineStr">
        <is>
          <t>Patient từ chối request qua endpoint thật năm lần liên tiếp.</t>
        </is>
      </c>
      <c r="D21" s="8" t="inlineStr">
        <is>
          <t>1. POST /family/links/{id}/reject qua tài khoản patient mỗi lần.
2. Thử redeem trước mốc 24 giờ.
3. Thử lại đúng mốc 24 giờ.</t>
        </is>
      </c>
      <c r="E21" s="8" t="inlineStr">
        <is>
          <t>rejected_at của lần thứ năm; thử T+23:59 và T+24:00</t>
        </is>
      </c>
      <c r="F21" s="8" t="inlineStr">
        <is>
          <t>Trước hạn 429 link_request_cooldown; tại T+24:00 trả 201; người thân khác không bị khóa.</t>
        </is>
      </c>
      <c r="G21" s="8" t="inlineStr">
        <is>
          <t>test_five_rejections_via_endpoint_block_24h_others_unaffected__AC9 pass trong evidence/test-redeem-pep-targeted.log.</t>
        </is>
      </c>
      <c r="H21" s="7" t="inlineStr">
        <is>
          <t>Pass</t>
        </is>
      </c>
      <c r="I21" s="8" t="inlineStr">
        <is>
          <t>AC8 · BVA (4,5,6; 23:59,24:00)</t>
        </is>
      </c>
    </row>
    <row r="22" ht="57.5" customHeight="1">
      <c r="A22" s="7" t="inlineStr">
        <is>
          <t>TC-REDEEMFLOW-14</t>
        </is>
      </c>
      <c r="B22" s="7" t="inlineStr">
        <is>
          <t>Cho family active đủ consent và sharing đọc schedules</t>
        </is>
      </c>
      <c r="C22" s="8" t="inlineStr">
        <is>
          <t>Link active, family_sharing và sharing_enabled=true.</t>
        </is>
      </c>
      <c r="D22" s="8" t="inlineStr">
        <is>
          <t>1. GET /patients/{patient_id}/schedules bằng family.
2. Kiểm access_logs.</t>
        </is>
      </c>
      <c r="E22" s="8" t="inlineStr">
        <is>
          <t>patient_id=UUID patient của link active</t>
        </is>
      </c>
      <c r="F22" s="8" t="inlineStr">
        <is>
          <t>200 với dữ liệu tối thiểu; có allowed log.</t>
        </is>
      </c>
      <c r="G22" s="8" t="inlineStr">
        <is>
          <t>test_family_allowed_logged_each_page__AC13 pass trong evidence/test-redeem-pep-targeted.log.</t>
        </is>
      </c>
      <c r="H22" s="7" t="inlineStr">
        <is>
          <t>Pass</t>
        </is>
      </c>
      <c r="I22" s="8" t="inlineStr">
        <is>
          <t>AC9 · Decision Table (R4)</t>
        </is>
      </c>
    </row>
    <row r="23" ht="57.5" customHeight="1">
      <c r="A23" s="7" t="inlineStr">
        <is>
          <t>TC-REDEEMFLOW-15</t>
        </is>
      </c>
      <c r="B23" s="7" t="inlineStr">
        <is>
          <t>Từ chối family active khi thiếu consent</t>
        </is>
      </c>
      <c r="C23" s="8" t="inlineStr">
        <is>
          <t>Link active, sharing_enabled=true, patient rút family_sharing.</t>
        </is>
      </c>
      <c r="D23" s="8" t="inlineStr">
        <is>
          <t>1. GET /patients/{patient_id}/schedules bằng family.
2. Kiểm access_logs.</t>
        </is>
      </c>
      <c r="E23" s="8" t="inlineStr">
        <is>
          <t>patient_id=UUID patient, consent_type=family_sharing</t>
        </is>
      </c>
      <c r="F23" s="8" t="inlineStr">
        <is>
          <t>403 khong_co_quyen, không có lịch thuốc; denied log.</t>
        </is>
      </c>
      <c r="G23" s="8" t="inlineStr">
        <is>
          <t>test_family_missing_consent_or_sharing_off_denied pass trong evidence/test-redeem-pep-targeted.log.</t>
        </is>
      </c>
      <c r="H23" s="7" t="inlineStr">
        <is>
          <t>Pass</t>
        </is>
      </c>
      <c r="I23" s="8" t="inlineStr">
        <is>
          <t>AC9 · Decision Table (R2)</t>
        </is>
      </c>
    </row>
    <row r="24" ht="57.5" customHeight="1">
      <c r="A24" s="7" t="inlineStr">
        <is>
          <t>TC-REDEEMFLOW-16</t>
        </is>
      </c>
      <c r="B24" s="7" t="inlineStr">
        <is>
          <t>Từ chối family active khi patient tắt chia sẻ</t>
        </is>
      </c>
      <c r="C24" s="8" t="inlineStr">
        <is>
          <t>Link active, consent còn, sharing_enabled=false.</t>
        </is>
      </c>
      <c r="D24" s="8" t="inlineStr">
        <is>
          <t>1. GET /patients/{patient_id}/schedules bằng family.
2. Kiểm access_logs.</t>
        </is>
      </c>
      <c r="E24" s="8" t="inlineStr">
        <is>
          <t>patient_id=UUID patient, sharing_enabled=false</t>
        </is>
      </c>
      <c r="F24" s="8" t="inlineStr">
        <is>
          <t>403 khong_co_quyen, không có lịch thuốc; denied log.</t>
        </is>
      </c>
      <c r="G24" s="8" t="inlineStr">
        <is>
          <t>test_family_missing_consent_or_sharing_off_denied pass trong evidence/test-redeem-pep-targeted.log.</t>
        </is>
      </c>
      <c r="H24" s="7" t="inlineStr">
        <is>
          <t>Pass</t>
        </is>
      </c>
      <c r="I24" s="8" t="inlineStr">
        <is>
          <t>AC9 · Decision Table (R3)</t>
        </is>
      </c>
    </row>
    <row r="25" ht="74" customHeight="1">
      <c r="A25" s="7" t="inlineStr">
        <is>
          <t>TC-REDEEMFLOW-17</t>
        </is>
      </c>
      <c r="B25" s="7" t="inlineStr">
        <is>
          <t>Rút quyền và chặn request kế tiếp cùng JWT</t>
        </is>
      </c>
      <c r="C25" s="8" t="inlineStr">
        <is>
          <t>Family từng đọc schedules được, link active.</t>
        </is>
      </c>
      <c r="D25" s="8" t="inlineStr">
        <is>
          <t>1. Gọi schedules lần đầu.
2. Rút consent hoặc revoke link.
3. Gọi schedules ngay bằng cùng bearer.</t>
        </is>
      </c>
      <c r="E25" s="8" t="inlineStr">
        <is>
          <t>patient_id=UUID patient; bearer family giữ nguyên</t>
        </is>
      </c>
      <c r="F25" s="8" t="inlineStr">
        <is>
          <t>Lần đầu 200+allowed; request sau 403+denied.</t>
        </is>
      </c>
      <c r="G25" s="8" t="inlineStr">
        <is>
          <t>test_revocation_takes_effect_immediately_same_jwt__AC7 và test_revoke_between_pages_403__AC14 pass trong evidence/test-redeem-pep-targeted.log.</t>
        </is>
      </c>
      <c r="H25" s="7" t="inlineStr">
        <is>
          <t>Pass</t>
        </is>
      </c>
      <c r="I25" s="8" t="inlineStr">
        <is>
          <t>AC7, AC9 · state active→revoked</t>
        </is>
      </c>
    </row>
    <row r="26" ht="57.5" customHeight="1">
      <c r="A26" s="7" t="inlineStr">
        <is>
          <t>TC-REDEEMFLOW-18</t>
        </is>
      </c>
      <c r="B26" s="7" t="inlineStr">
        <is>
          <t>Từ chối patient_id tráo sang bệnh nhân khác</t>
        </is>
      </c>
      <c r="C26" s="8" t="inlineStr">
        <is>
          <t>Family có link active với P nhưng không có link với Q.</t>
        </is>
      </c>
      <c r="D26" s="8" t="inlineStr">
        <is>
          <t>1. GET /patients/{Q}/schedules bằng bearer của family.
2. Kiểm access_logs cho Q.</t>
        </is>
      </c>
      <c r="E26" s="8" t="inlineStr">
        <is>
          <t>patient_id=UUID Q khác P</t>
        </is>
      </c>
      <c r="F26" s="8" t="inlineStr">
        <is>
          <t>403 khong_co_quyen, không lộ lịch Q; denied log cho Q.</t>
        </is>
      </c>
      <c r="G26" s="8" t="inlineStr">
        <is>
          <t>test_family_swaps_patient_id_denied pass trong evidence/test-redeem-pep-targeted.log.</t>
        </is>
      </c>
      <c r="H26" s="7" t="inlineStr">
        <is>
          <t>Pass</t>
        </is>
      </c>
      <c r="I26" s="8" t="inlineStr">
        <is>
          <t>AC9 · Decision Table (R1) · security</t>
        </is>
      </c>
    </row>
    <row r="27" ht="90.5" customHeight="1">
      <c r="A27" s="7" t="inlineStr">
        <is>
          <t>TC-REDEEMFLOW-19</t>
        </is>
      </c>
      <c r="B27" s="7" t="inlineStr">
        <is>
          <t>Chặn dữ liệu sức khỏe khi ghi audit lỗi và giữ denied sau rollback</t>
        </is>
      </c>
      <c r="C27" s="8" t="inlineStr">
        <is>
          <t>Endpoint /adherence có dữ liệu; tiêm lỗi ghi audit hoặc transaction rollback.</t>
        </is>
      </c>
      <c r="D27" s="8" t="inlineStr">
        <is>
          <t>1. Gọi GET /adherence khi Access Log Writer lỗi.
2. Gọi khi bị denied rồi rollback transaction ngoài.
3. Kiểm response và access_logs.</t>
        </is>
      </c>
      <c r="E27" s="8" t="inlineStr">
        <is>
          <t>failure=allowed_insert,commit,denied_insert,permission_read</t>
        </is>
      </c>
      <c r="F27" s="8" t="inlineStr">
        <is>
          <t>Lỗi audit/permission: 500 không trả sức khỏe; denied vẫn ghi sau rollback ngoài.</t>
        </is>
      </c>
      <c r="G27" s="8" t="inlineStr">
        <is>
          <t>5 ca test audit pass trong evidence/test-audit-fail-closed.log.</t>
        </is>
      </c>
      <c r="H27" s="7" t="inlineStr">
        <is>
          <t>Pass</t>
        </is>
      </c>
      <c r="I27" s="8" t="inlineStr">
        <is>
          <t>AC10, AC9 · security · rollback</t>
        </is>
      </c>
    </row>
    <row r="28" ht="74" customHeight="1">
      <c r="A28" s="7" t="inlineStr">
        <is>
          <t>TC-REDEEMFLOW-20</t>
        </is>
      </c>
      <c r="B28" s="7" t="inlineStr">
        <is>
          <t>Báo thiếu emulator trước khi tạo fixture</t>
        </is>
      </c>
      <c r="C28" s="8" t="inlineStr">
        <is>
          <t>Supabase local chạy; adb devices không có emulator online.</t>
        </is>
      </c>
      <c r="D28" s="8" t="inlineStr">
        <is>
          <t>1. Chạy run_e2e.py --preflight.
2. Kiểm exit và DB không có fixture mới.</t>
        </is>
      </c>
      <c r="E28" s="8" t="inlineStr">
        <is>
          <t>adb devices chỉ có dòng tiêu đề</t>
        </is>
      </c>
      <c r="F28" s="8" t="inlineStr">
        <is>
          <t>Báo thiếu Android emulator, exit 2, chưa tạo dữ liệu.</t>
        </is>
      </c>
      <c r="G28" s="8" t="inlineStr">
        <is>
          <t>Preflight báo Không có Android emulator online; unit runner 11 pass; evidence/test-runner-preflight.log và evidence/test-runner-unit.log.</t>
        </is>
      </c>
      <c r="H28" s="7" t="inlineStr">
        <is>
          <t>Pass</t>
        </is>
      </c>
      <c r="I28" s="8" t="inlineStr">
        <is>
          <t>AC12, AC10 · EP (thiếu emulator)</t>
        </is>
      </c>
    </row>
    <row r="29" ht="57.5" customHeight="1">
      <c r="A29" s="7" t="inlineStr">
        <is>
          <t>TC-REDEEMFLOW-21</t>
        </is>
      </c>
      <c r="B29" s="7" t="inlineStr">
        <is>
          <t>Thử lại sau khi server lưu nhưng client mất response</t>
        </is>
      </c>
      <c r="C29" s="8" t="inlineStr">
        <is>
          <t>Android LM_G710 qua ADB, backend/DB local chạy.</t>
        </is>
      </c>
      <c r="D29" s="8" t="inlineStr">
        <is>
          <t>1. Chạy run_e2e.py --phase response_lost.
2. Relay bỏ response đầu sau upstream commit.
3. Bấm Thử lại và kiểm DB.</t>
        </is>
      </c>
      <c r="E29" s="8" t="inlineStr">
        <is>
          <t>code=body.code; client_uuid do Mobile sinh và giữ lại</t>
        </is>
      </c>
      <c r="F29" s="8" t="inlineStr">
        <is>
          <t>POST 201 rồi 200 cùng UUID/id; UI pending; một row DB.</t>
        </is>
      </c>
      <c r="G29" s="8" t="inlineStr">
        <is>
          <t>PASS response_lost: UI/API/DB, 201 rồi 200 cùng UUID và một DB row; evidence/test-android-remaining-phases.log.</t>
        </is>
      </c>
      <c r="H29" s="7" t="inlineStr">
        <is>
          <t>Pass</t>
        </is>
      </c>
      <c r="I29" s="8" t="inlineStr">
        <is>
          <t>AC4, AC6 · state request→timeout→retry</t>
        </is>
      </c>
    </row>
    <row r="30" ht="57.5" customHeight="1">
      <c r="A30" s="7" t="inlineStr">
        <is>
          <t>TC-REDEEMFLOW-22</t>
        </is>
      </c>
      <c r="B30" s="7" t="inlineStr">
        <is>
          <t>Bấm gửi hai lần khi request đầu đang chờ</t>
        </is>
      </c>
      <c r="C30" s="8" t="inlineStr">
        <is>
          <t>Android LM_G710 qua ADB, backend/DB local chạy.</t>
        </is>
      </c>
      <c r="D30" s="8" t="inlineStr">
        <is>
          <t>1. Chạy run_e2e.py --phase double_tap.
2. Bấm gửi hai lần nhanh.
3. Kiểm số POST và DB.</t>
        </is>
      </c>
      <c r="E30" s="8" t="inlineStr">
        <is>
          <t>code=body.code; relay trì hoãn response 400ms</t>
        </is>
      </c>
      <c r="F30" s="8" t="inlineStr">
        <is>
          <t>Chỉ một POST, một pending, UI chờ.</t>
        </is>
      </c>
      <c r="G30" s="8" t="inlineStr">
        <is>
          <t>PASS double_tap: UI/API/DB, một POST và một pending; evidence/test-android-remaining-phases.log.</t>
        </is>
      </c>
      <c r="H30" s="7" t="inlineStr">
        <is>
          <t>Pass</t>
        </is>
      </c>
      <c r="I30" s="8" t="inlineStr">
        <is>
          <t>AC4 · error guessing (double tap)</t>
        </is>
      </c>
    </row>
    <row r="31" ht="107" customHeight="1">
      <c r="A31" s="7" t="inlineStr">
        <is>
          <t>TC-REDEEMFLOW-23</t>
        </is>
      </c>
      <c r="B31" s="7" t="inlineStr">
        <is>
          <t>Quét QR bằng camera thật và thử từ chối quyền</t>
        </is>
      </c>
      <c r="C31" s="8" t="inlineStr">
        <is>
          <t>Android có camera, hai tài khoản/thiết bị; Supabase local có thể truy cập từ emulator.</t>
        </is>
      </c>
      <c r="D31" s="8" t="inlineStr">
        <is>
          <t>1. Hiển thị QR bệnh nhân trên thiết bị thứ nhất.
2. Quét bằng camera thiết bị thứ hai và xác nhận.
3. Rút quyền camera rồi quét lại; thử QR sai.
4. Đối chiếu pending DB.</t>
        </is>
      </c>
      <c r="E31" s="8" t="inlineStr">
        <is>
          <t>QR thực từ GET /family/link-code; camera permission=granted/denied</t>
        </is>
      </c>
      <c r="F31" s="8" t="inlineStr">
        <is>
          <t>Chỉ gửi sau xác nhận; một pending; khi từ chối quyền hoặc QR sai có lối nhập mã và không POST.</t>
        </is>
      </c>
      <c r="G31" s="8" t="inlineStr"/>
      <c r="H31" s="7" t="inlineStr">
        <is>
          <t>Pending</t>
        </is>
      </c>
      <c r="I31" s="8" t="inlineStr">
        <is>
          <t>AC11 · manual · EP (camera granted/denied)</t>
        </is>
      </c>
    </row>
    <row r="32"/>
    <row r="33"/>
    <row r="34">
      <c r="G34" s="12" t="inlineStr">
        <is>
          <t>Pass</t>
        </is>
      </c>
      <c r="H34" s="13">
        <f>COUNTIF(H9:H31,"Pass")</f>
        <v/>
      </c>
    </row>
    <row r="35">
      <c r="G35" s="12" t="inlineStr">
        <is>
          <t>Fail</t>
        </is>
      </c>
      <c r="H35" s="13">
        <f>COUNTIF(H9:H31,"Fail")</f>
        <v/>
      </c>
    </row>
    <row r="36">
      <c r="G36" s="12" t="inlineStr">
        <is>
          <t>Pending</t>
        </is>
      </c>
      <c r="H36" s="13">
        <f>COUNTIF(H9:H31,"Pending")</f>
        <v/>
      </c>
    </row>
    <row r="37">
      <c r="G37" s="12" t="inlineStr">
        <is>
          <t>Total</t>
        </is>
      </c>
      <c r="H37" s="13">
        <f>SUM(H34:H36)</f>
        <v/>
      </c>
    </row>
  </sheetData>
  <autoFilter ref="A8:I31"/>
  <conditionalFormatting sqref="H9:H31">
    <cfRule type="cellIs" priority="1" operator="equal" dxfId="0">
      <formula>"Fail"</formula>
    </cfRule>
  </conditionalFormatting>
  <dataValidations count="1">
    <dataValidation sqref="H9:H31" showDropDown="0" showInputMessage="0" showErrorMessage="0" allowBlank="0" type="list">
      <formula1>"Pass,Fail,Pending"</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6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s>
  <sheetData>
    <row r="1">
      <c r="A1" s="1" t="inlineStr">
        <is>
          <t>Project Name</t>
        </is>
      </c>
      <c r="B1" s="2" t="inlineStr">
        <is>
          <t>DrugTime</t>
        </is>
      </c>
    </row>
    <row r="2">
      <c r="A2" s="1" t="inlineStr">
        <is>
          <t>Module Name</t>
        </is>
      </c>
      <c r="B2" s="2" t="inlineStr">
        <is>
          <t>Lịch sử tuân thủ cho người thân (FADH)</t>
        </is>
      </c>
    </row>
    <row r="3">
      <c r="A3" s="1" t="inlineStr">
        <is>
          <t>Created By</t>
        </is>
      </c>
      <c r="B3" s="2" t="inlineStr">
        <is>
          <t>phucnguyenngoc</t>
        </is>
      </c>
    </row>
    <row r="4">
      <c r="A4" s="1" t="inlineStr">
        <is>
          <t>Creation Date</t>
        </is>
      </c>
      <c r="B4" s="21" t="n">
        <v>46319</v>
      </c>
    </row>
    <row r="5">
      <c r="A5" s="1" t="inlineStr">
        <is>
          <t>Reviewed By</t>
        </is>
      </c>
      <c r="B5" s="2" t="inlineStr"/>
    </row>
    <row r="6">
      <c r="A6" s="1" t="inlineStr">
        <is>
          <t>Reviewed Date</t>
        </is>
      </c>
      <c r="B6" s="2" t="n"/>
    </row>
    <row r="7">
      <c r="K7" s="4" t="inlineStr">
        <is>
          <t>Equivalence Partitioning</t>
        </is>
      </c>
      <c r="Q7" s="4" t="inlineStr">
        <is>
          <t>Quyền xem lịch sử PB21</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row>
    <row r="9" ht="156.5" customHeight="1">
      <c r="A9" s="7" t="inlineStr">
        <is>
          <t>TC-FADH-01</t>
        </is>
      </c>
      <c r="B9" s="7" t="inlineStr">
        <is>
          <t>Xem cùng lịch sử bằng patient và người thân</t>
        </is>
      </c>
      <c r="C9" s="8" t="inlineStr">
        <is>
          <t>DB Supabase local reset sạch; dùng fixture history_data; patient P có health_data; family F liên kết active, sharing=true và family_sharing của P còn hiệu lực.</t>
        </is>
      </c>
      <c r="D9" s="8" t="inlineStr">
        <is>
          <t>1. Tạo patient/family và lịch 08:00 qua fixture history_data.
2. Gọi GET /adherence?patient_id=P&amp;from=2026-10-19&amp;to=2026-10-19 bằng app session của F.
3. Đối chiếu response, dose_logs và access_logs bằng assertion của test nêu ở Comments.</t>
        </is>
      </c>
      <c r="E9" s="8" t="inlineStr">
        <is>
          <t>2026-10-19 08:00 +07; status=da_uong</t>
        </is>
      </c>
      <c r="F9" s="8" t="inlineStr">
        <is>
          <t>200; payload đúng contract, hai response giống nhau; mỗi caller có allowed; audit không chứa nội dung thuốc/liều.</t>
        </is>
      </c>
      <c r="G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9" s="7" t="inlineStr">
        <is>
          <t>Pass</t>
        </is>
      </c>
      <c r="I9" s="8" t="inlineStr">
        <is>
          <t>PB21 · AC1,AC9 · Decision Table (R1) · EP (1) · test_self_and_family_success_are_audited · evidence/test-contract-history-final.log/xml · Retest evidence/test-p7-integration.log/xml</t>
        </is>
      </c>
      <c r="K9" s="9" t="inlineStr">
        <is>
          <t>Quyền người thân</t>
        </is>
      </c>
      <c r="L9" s="10" t="inlineStr">
        <is>
          <t>Link active + sharing + hai consent</t>
        </is>
      </c>
      <c r="M9" s="10" t="inlineStr">
        <is>
          <t>1</t>
        </is>
      </c>
      <c r="N9" s="10" t="inlineStr">
        <is>
          <t>Không liên kết hoặc patient khác
Thiếu health_data
Thiếu family_sharing
Sharing tắt</t>
        </is>
      </c>
      <c r="O9" s="10" t="inlineStr">
        <is>
          <t>4
5
6
7</t>
        </is>
      </c>
      <c r="Q9" s="10" t="inlineStr">
        <is>
          <t>Link active</t>
        </is>
      </c>
      <c r="R9" s="11" t="inlineStr">
        <is>
          <t>Yes</t>
        </is>
      </c>
      <c r="S9" s="11" t="inlineStr">
        <is>
          <t>No</t>
        </is>
      </c>
      <c r="T9" s="11" t="inlineStr">
        <is>
          <t>Yes</t>
        </is>
      </c>
      <c r="U9" s="11" t="inlineStr">
        <is>
          <t>Yes</t>
        </is>
      </c>
      <c r="V9" s="11" t="inlineStr">
        <is>
          <t>Yes</t>
        </is>
      </c>
    </row>
    <row r="10" ht="156.5" customHeight="1">
      <c r="A10" s="7" t="inlineStr">
        <is>
          <t>TC-FADH-02</t>
        </is>
      </c>
      <c r="B10" s="7" t="inlineStr">
        <is>
          <t>Chặn người thân chưa liên kết</t>
        </is>
      </c>
      <c r="C10" s="8" t="inlineStr">
        <is>
          <t>Supabase local; patient P tồn tại, có health_data và liều; family F là user khác, không có caregiver_link tới P. Không dựng liên kết active trong ca này.</t>
        </is>
      </c>
      <c r="D10" s="8" t="inlineStr">
        <is>
          <t>1. Dựng P và liều bằng history_data; tạo F bằng make.user(), không gọi family_of/link.
2. GET /adherence?patient_id=P bằng bearer mobile của F.
3. Kiểm 403 {detail: khong_co_quyen}, Cache-Control: no-store; không có lịch sử trong body.
4. Đọc access_logs của P: actor F, result denied; so dose_logs trước/sau không đổi.</t>
        </is>
      </c>
      <c r="E10" s="8" t="inlineStr">
        <is>
          <t>case=unlinked; patient_id=P</t>
        </is>
      </c>
      <c r="F10" s="8" t="inlineStr">
        <is>
          <t>403 {detail: khong_co_quyen}; Cache-Control: no-store; có denied và dose_logs không đổi.</t>
        </is>
      </c>
      <c r="G10"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0" s="7" t="inlineStr">
        <is>
          <t>Pass</t>
        </is>
      </c>
      <c r="I10" s="8" t="inlineStr">
        <is>
          <t>PB21 · AC4 · Decision Table (R2) · EP (4) · test_unlinked_missing_consents_sharing_off_admin_denied_and_audited__AC11[unlinked] · evidence/test-contract-history-final.log/xml · Retest evidence/test-p7-integration.log/xml</t>
        </is>
      </c>
      <c r="K10" s="9" t="inlineStr">
        <is>
          <t>Mẫu số tỷ lệ</t>
        </is>
      </c>
      <c r="L10" s="10" t="inlineStr">
        <is>
          <t>Liều xác nhận hợp lệ hoặc chưa xác nhận đã quá +120
Không có liều đủ điều kiện</t>
        </is>
      </c>
      <c r="M10" s="10" t="inlineStr">
        <is>
          <t>2
3</t>
        </is>
      </c>
      <c r="N10" s="10" t="inlineStr"/>
      <c r="O10" s="10" t="inlineStr"/>
      <c r="Q10" s="10" t="inlineStr">
        <is>
          <t>health_data</t>
        </is>
      </c>
      <c r="R10" s="11" t="inlineStr">
        <is>
          <t>Yes</t>
        </is>
      </c>
      <c r="S10" s="11" t="inlineStr">
        <is>
          <t>Yes</t>
        </is>
      </c>
      <c r="T10" s="11" t="inlineStr">
        <is>
          <t>No</t>
        </is>
      </c>
      <c r="U10" s="11" t="inlineStr">
        <is>
          <t>Yes</t>
        </is>
      </c>
      <c r="V10" s="11" t="inlineStr">
        <is>
          <t>Yes</t>
        </is>
      </c>
    </row>
    <row r="11" ht="156.5" customHeight="1">
      <c r="A11" s="7" t="inlineStr">
        <is>
          <t>TC-FADH-03</t>
        </is>
      </c>
      <c r="B11" s="7" t="inlineStr">
        <is>
          <t>Chặn khi thiếu consent sức khỏe</t>
        </is>
      </c>
      <c r="C11" s="8" t="inlineStr">
        <is>
          <t>DB Supabase local reset sạch; dùng fixture history_data; patient P có health_data; family F liên kết active, sharing=true và family_sharing của P còn hiệu lực. Thu hồi health_data của P</t>
        </is>
      </c>
      <c r="D11" s="8" t="inlineStr">
        <is>
          <t>1. Tạo patient/family và lịch 08:00 qua fixture history_data.
2. Gọi GET /adherence?patient_id=P&amp;from=2026-10-19&amp;to=2026-10-19 bằng app session của F.
3. Đối chiếu response, dose_logs và access_logs bằng assertion của test nêu ở Comments.</t>
        </is>
      </c>
      <c r="E11" s="8" t="inlineStr">
        <is>
          <t>case=health_consent; patient_id=P</t>
        </is>
      </c>
      <c r="F11" s="8" t="inlineStr">
        <is>
          <t>403 {detail: khong_co_quyen}; Cache-Control: no-store; có denied và dose_logs không đổi.</t>
        </is>
      </c>
      <c r="G1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1" s="7" t="inlineStr">
        <is>
          <t>Pass</t>
        </is>
      </c>
      <c r="I11" s="8" t="inlineStr">
        <is>
          <t>PB21 · AC4 · Decision Table (R3) · EP (5) · test_unlinked_missing_consents_sharing_off_admin_denied_and_audited__AC11[health_consent] · evidence/test-contract-history-final.log/xml · Retest evidence/test-p7-integration.log/xml</t>
        </is>
      </c>
      <c r="Q11" s="10" t="inlineStr">
        <is>
          <t>family_sharing</t>
        </is>
      </c>
      <c r="R11" s="11" t="inlineStr">
        <is>
          <t>Yes</t>
        </is>
      </c>
      <c r="S11" s="11" t="inlineStr">
        <is>
          <t>Yes</t>
        </is>
      </c>
      <c r="T11" s="11" t="inlineStr">
        <is>
          <t>Yes</t>
        </is>
      </c>
      <c r="U11" s="11" t="inlineStr">
        <is>
          <t>No</t>
        </is>
      </c>
      <c r="V11" s="11" t="inlineStr">
        <is>
          <t>Yes</t>
        </is>
      </c>
    </row>
    <row r="12" ht="156.5" customHeight="1">
      <c r="A12" s="7" t="inlineStr">
        <is>
          <t>TC-FADH-04</t>
        </is>
      </c>
      <c r="B12" s="7" t="inlineStr">
        <is>
          <t>Chặn khi thiếu consent chia sẻ</t>
        </is>
      </c>
      <c r="C12" s="8" t="inlineStr">
        <is>
          <t>DB Supabase local reset sạch; dùng fixture history_data; patient P có health_data; family F liên kết active, sharing=true và family_sharing của P còn hiệu lực. Thu hồi family_sharing của P</t>
        </is>
      </c>
      <c r="D12" s="8" t="inlineStr">
        <is>
          <t>1. Tạo patient/family và lịch 08:00 qua fixture history_data.
2. Gọi GET /adherence?patient_id=P&amp;from=2026-10-19&amp;to=2026-10-19 bằng app session của F.
3. Đối chiếu response, dose_logs và access_logs bằng assertion của test nêu ở Comments.</t>
        </is>
      </c>
      <c r="E12" s="8" t="inlineStr">
        <is>
          <t>case=family_consent; patient_id=P</t>
        </is>
      </c>
      <c r="F12" s="8" t="inlineStr">
        <is>
          <t>403 {detail: khong_co_quyen}; Cache-Control: no-store; có denied và dose_logs không đổi.</t>
        </is>
      </c>
      <c r="G12"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2" s="7" t="inlineStr">
        <is>
          <t>Pass</t>
        </is>
      </c>
      <c r="I12" s="8" t="inlineStr">
        <is>
          <t>PB21 · AC4 · Decision Table (R4) · EP (6) · test_unlinked_missing_consents_sharing_off_admin_denied_and_audited__AC11[family_consent] · evidence/test-contract-history-final.log/xml · Retest evidence/test-p7-integration.log/xml</t>
        </is>
      </c>
      <c r="Q12" s="10" t="inlineStr">
        <is>
          <t>sharing_enabled</t>
        </is>
      </c>
      <c r="R12" s="11" t="inlineStr">
        <is>
          <t>Yes</t>
        </is>
      </c>
      <c r="S12" s="11" t="inlineStr">
        <is>
          <t>Yes</t>
        </is>
      </c>
      <c r="T12" s="11" t="inlineStr">
        <is>
          <t>Yes</t>
        </is>
      </c>
      <c r="U12" s="11" t="inlineStr">
        <is>
          <t>Yes</t>
        </is>
      </c>
      <c r="V12" s="11" t="inlineStr">
        <is>
          <t>No</t>
        </is>
      </c>
    </row>
    <row r="13" ht="156.5" customHeight="1">
      <c r="A13" s="7" t="inlineStr">
        <is>
          <t>TC-FADH-05</t>
        </is>
      </c>
      <c r="B13" s="7" t="inlineStr">
        <is>
          <t>Chặn khi bệnh nhân tắt chia sẻ</t>
        </is>
      </c>
      <c r="C13" s="8" t="inlineStr">
        <is>
          <t>DB Supabase local reset sạch; dùng fixture history_data; patient P có health_data; family F liên kết active, sharing=true và family_sharing của P còn hiệu lực. Đặt sharing_enabled=false</t>
        </is>
      </c>
      <c r="D13" s="8" t="inlineStr">
        <is>
          <t>1. Tạo patient/family và lịch 08:00 qua fixture history_data.
2. Gọi GET /adherence?patient_id=P&amp;from=2026-10-19&amp;to=2026-10-19 bằng app session của F.
3. Đối chiếu response, dose_logs và access_logs bằng assertion của test nêu ở Comments.</t>
        </is>
      </c>
      <c r="E13" s="8" t="inlineStr">
        <is>
          <t>case=sharing_off; patient_id=P</t>
        </is>
      </c>
      <c r="F13" s="8" t="inlineStr">
        <is>
          <t>403 {detail: khong_co_quyen}; Cache-Control: no-store; có denied và dose_logs không đổi.</t>
        </is>
      </c>
      <c r="G13"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3" s="7" t="inlineStr">
        <is>
          <t>Pass</t>
        </is>
      </c>
      <c r="I13" s="8" t="inlineStr">
        <is>
          <t>PB21 · AC4 · Decision Table (R5) · EP (7) · test_unlinked_missing_consents_sharing_off_admin_denied_and_audited__AC11[sharing_off] · evidence/test-contract-history-final.log/xml · Retest evidence/test-p7-integration.log/xml</t>
        </is>
      </c>
      <c r="Q13" s="6" t="inlineStr">
        <is>
          <t>Action</t>
        </is>
      </c>
      <c r="R13" s="5" t="inlineStr">
        <is>
          <t>R1</t>
        </is>
      </c>
      <c r="S13" s="5" t="inlineStr">
        <is>
          <t>R2</t>
        </is>
      </c>
      <c r="T13" s="5" t="inlineStr">
        <is>
          <t>R3</t>
        </is>
      </c>
      <c r="U13" s="5" t="inlineStr">
        <is>
          <t>R4</t>
        </is>
      </c>
      <c r="V13" s="5" t="inlineStr">
        <is>
          <t>R5</t>
        </is>
      </c>
    </row>
    <row r="14" ht="189.5" customHeight="1">
      <c r="A14" s="7" t="inlineStr">
        <is>
          <t>TC-FADH-06</t>
        </is>
      </c>
      <c r="B14" s="7" t="inlineStr">
        <is>
          <t>Chặn sửa patient_id sang bệnh nhân khác</t>
        </is>
      </c>
      <c r="C14" s="8" t="inlineStr">
        <is>
          <t>DB Supabase local reset sạch; dùng fixture history_data; patient P có health_data; family F liên kết active, sharing=true và family_sharing của P còn hiệu lực. Thêm patient Q không liên kết với F.</t>
        </is>
      </c>
      <c r="D14" s="8" t="inlineStr">
        <is>
          <t>1. Dựng P có liều; family F liên kết active, sharing bật và hai consent của P còn hiệu lực; tạo patient Q không liên kết với F.
2. GET /adherence?patient_id=P bằng token F, kiểm 200 và allowed của P theo contract chuẩn.
3. Giữ nguyên token F, sửa query thành patient_id=Q rồi GET /adherence.
4. Kiểm request Q trả 403 {detail: khong_co_quyen}, không có dữ liệu P/Q; access_logs Q có denied actor F; P chỉ có allowed từ request đầu.</t>
        </is>
      </c>
      <c r="E14" s="8" t="inlineStr">
        <is>
          <t>patient_id=Q</t>
        </is>
      </c>
      <c r="F14" s="8" t="inlineStr">
        <is>
          <t>403; denied cho Q; không trả dữ liệu Q; request P trước đó có allowed.</t>
        </is>
      </c>
      <c r="G14"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4" s="7" t="inlineStr">
        <is>
          <t>Pass</t>
        </is>
      </c>
      <c r="I14" s="8" t="inlineStr">
        <is>
          <t>PB21 · AC4 · EP (4) · kiểm truy cập chéo · test_family_patient_selector_tamper · evidence/test-contract-history-final.log/xml · Retest evidence/test-p7-integration.log/xml</t>
        </is>
      </c>
      <c r="Q14" s="10" t="inlineStr">
        <is>
          <t>200 + allowed</t>
        </is>
      </c>
      <c r="R14" s="11" t="inlineStr">
        <is>
          <t>X</t>
        </is>
      </c>
      <c r="S14" s="11" t="inlineStr"/>
      <c r="T14" s="11" t="inlineStr"/>
      <c r="U14" s="11" t="inlineStr"/>
      <c r="V14" s="11" t="inlineStr"/>
    </row>
    <row r="15" ht="156.5" customHeight="1">
      <c r="A15" s="7" t="inlineStr">
        <is>
          <t>TC-FADH-07</t>
        </is>
      </c>
      <c r="B15" s="7" t="inlineStr">
        <is>
          <t>Mất quyền ngay sau thay đổi health_consent</t>
        </is>
      </c>
      <c r="C15" s="8" t="inlineStr">
        <is>
          <t>DB Supabase local reset sạch; dùng fixture history_data; patient P có health_data; family F liên kết active, sharing=true và family_sharing của P còn hiệu lực.</t>
        </is>
      </c>
      <c r="D15" s="8" t="inlineStr">
        <is>
          <t>1. Tạo patient/family và lịch 08:00 qua fixture history_data.
2. Gọi GET /adherence?patient_id=P&amp;from=2026-10-19&amp;to=2026-10-19 bằng app session của F.
3. Giữ nguyên token; thực hiện health_consent.
4. Gửi GET /adherence ngay bằng cùng token và kiểm denied.</t>
        </is>
      </c>
      <c r="E15" s="8" t="inlineStr">
        <is>
          <t>change=health_consent; cùng bearer session</t>
        </is>
      </c>
      <c r="F15" s="8" t="inlineStr">
        <is>
          <t>Request đầu 200, request kế tiếp 403 {detail: khong_co_quyen}; audit lần lượt allowed, denied.</t>
        </is>
      </c>
      <c r="G15"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5" s="7" t="inlineStr">
        <is>
          <t>Pass</t>
        </is>
      </c>
      <c r="I15" s="8" t="inlineStr">
        <is>
          <t>PB21 · AC5 · Chuyển trạng thái (allowed → denied) · test_revoke_sharing_off_unlink_denies_immediate_next_request_same_token__AC12[health_consent] · evidence/test-contract-history-final.log/xml · Retest evidence/test-p7-integration.log/xml</t>
        </is>
      </c>
      <c r="Q15" s="10" t="inlineStr">
        <is>
          <t>403 + denied</t>
        </is>
      </c>
      <c r="R15" s="11" t="inlineStr"/>
      <c r="S15" s="11" t="inlineStr">
        <is>
          <t>X</t>
        </is>
      </c>
      <c r="T15" s="11" t="inlineStr">
        <is>
          <t>X</t>
        </is>
      </c>
      <c r="U15" s="11" t="inlineStr">
        <is>
          <t>X</t>
        </is>
      </c>
      <c r="V15" s="11" t="inlineStr">
        <is>
          <t>X</t>
        </is>
      </c>
    </row>
    <row r="16" ht="156.5" customHeight="1">
      <c r="A16" s="7" t="inlineStr">
        <is>
          <t>TC-FADH-08</t>
        </is>
      </c>
      <c r="B16" s="7" t="inlineStr">
        <is>
          <t>Mất quyền ngay sau thay đổi family_consent</t>
        </is>
      </c>
      <c r="C16" s="8" t="inlineStr">
        <is>
          <t>DB Supabase local reset sạch; dùng fixture history_data; patient P có health_data; family F liên kết active, sharing=true và family_sharing của P còn hiệu lực.</t>
        </is>
      </c>
      <c r="D16" s="8" t="inlineStr">
        <is>
          <t>1. Tạo patient/family và lịch 08:00 qua fixture history_data.
2. Gọi GET /adherence?patient_id=P&amp;from=2026-10-19&amp;to=2026-10-19 bằng app session của F.
3. Giữ nguyên token; thực hiện family_consent.
4. Gửi GET /adherence ngay bằng cùng token và kiểm denied.</t>
        </is>
      </c>
      <c r="E16" s="8" t="inlineStr">
        <is>
          <t>change=family_consent; cùng bearer session</t>
        </is>
      </c>
      <c r="F16" s="8" t="inlineStr">
        <is>
          <t>Request đầu 200, request kế tiếp 403 {detail: khong_co_quyen}; audit lần lượt allowed, denied.</t>
        </is>
      </c>
      <c r="G16"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6" s="7" t="inlineStr">
        <is>
          <t>Pass</t>
        </is>
      </c>
      <c r="I16" s="8" t="inlineStr">
        <is>
          <t>PB21 · AC5 · Chuyển trạng thái (allowed → denied) · test_revoke_sharing_off_unlink_denies_immediate_next_request_same_token__AC12[family_consent] · evidence/test-contract-history-final.log/xml · Retest evidence/test-p7-integration.log/xml</t>
        </is>
      </c>
    </row>
    <row r="17" ht="156.5" customHeight="1">
      <c r="A17" s="7" t="inlineStr">
        <is>
          <t>TC-FADH-09</t>
        </is>
      </c>
      <c r="B17" s="7" t="inlineStr">
        <is>
          <t>Mất quyền ngay sau thay đổi sharing_off</t>
        </is>
      </c>
      <c r="C17" s="8" t="inlineStr">
        <is>
          <t>DB Supabase local reset sạch; dùng fixture history_data; patient P có health_data; family F liên kết active, sharing=true và family_sharing của P còn hiệu lực.</t>
        </is>
      </c>
      <c r="D17" s="8" t="inlineStr">
        <is>
          <t>1. Tạo patient/family và lịch 08:00 qua fixture history_data.
2. Gọi GET /adherence?patient_id=P&amp;from=2026-10-19&amp;to=2026-10-19 bằng app session của F.
3. Giữ nguyên token; thực hiện sharing_off.
4. Gửi GET /adherence ngay bằng cùng token và kiểm denied.</t>
        </is>
      </c>
      <c r="E17" s="8" t="inlineStr">
        <is>
          <t>change=sharing_off; cùng bearer session</t>
        </is>
      </c>
      <c r="F17" s="8" t="inlineStr">
        <is>
          <t>Request đầu 200, request kế tiếp 403 {detail: khong_co_quyen}; audit lần lượt allowed, denied.</t>
        </is>
      </c>
      <c r="G17"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7" s="7" t="inlineStr">
        <is>
          <t>Pass</t>
        </is>
      </c>
      <c r="I17" s="8" t="inlineStr">
        <is>
          <t>PB21 · AC5 · Chuyển trạng thái (allowed → denied) · test_revoke_sharing_off_unlink_denies_immediate_next_request_same_token__AC12[sharing_off] · evidence/test-contract-history-final.log/xml · Retest evidence/test-p7-integration.log/xml</t>
        </is>
      </c>
    </row>
    <row r="18" ht="156.5" customHeight="1">
      <c r="A18" s="7" t="inlineStr">
        <is>
          <t>TC-FADH-10</t>
        </is>
      </c>
      <c r="B18" s="7" t="inlineStr">
        <is>
          <t>Mất quyền ngay sau thay đổi unlink</t>
        </is>
      </c>
      <c r="C18" s="8" t="inlineStr">
        <is>
          <t>DB Supabase local reset sạch; dùng fixture history_data; patient P có health_data; family F liên kết active, sharing=true và family_sharing của P còn hiệu lực.</t>
        </is>
      </c>
      <c r="D18" s="8" t="inlineStr">
        <is>
          <t>1. Tạo patient/family và lịch 08:00 qua fixture history_data.
2. Gọi GET /adherence?patient_id=P&amp;from=2026-10-19&amp;to=2026-10-19 bằng app session của F.
3. Giữ nguyên token; thực hiện unlink.
4. Gửi GET /adherence ngay bằng cùng token và kiểm denied.</t>
        </is>
      </c>
      <c r="E18" s="8" t="inlineStr">
        <is>
          <t>change=unlink; cùng bearer session</t>
        </is>
      </c>
      <c r="F18" s="8" t="inlineStr">
        <is>
          <t>Request đầu 200, request kế tiếp 403 {detail: khong_co_quyen}; audit lần lượt allowed, denied.</t>
        </is>
      </c>
      <c r="G18"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8" s="7" t="inlineStr">
        <is>
          <t>Pass</t>
        </is>
      </c>
      <c r="I18" s="8" t="inlineStr">
        <is>
          <t>PB21 · AC5 · Chuyển trạng thái (allowed → denied) · test_revoke_sharing_off_unlink_denies_immediate_next_request_same_token__AC12[unlink] · evidence/test-contract-history-final.log/xml · Retest evidence/test-p7-integration.log/xml</t>
        </is>
      </c>
    </row>
    <row r="19" ht="156.5" customHeight="1">
      <c r="A19" s="7" t="inlineStr">
        <is>
          <t>TC-FADH-11</t>
        </is>
      </c>
      <c r="B19" s="7" t="inlineStr">
        <is>
          <t>Chặn lịch sử khi lỗi allowed_insert</t>
        </is>
      </c>
      <c r="C19" s="8" t="inlineStr">
        <is>
          <t>DB Supabase local reset sạch; dùng fixture history_data; patient P có health_data; family F liên kết active, sharing=true và family_sharing của P còn hiệu lực.</t>
        </is>
      </c>
      <c r="D19" s="8" t="inlineStr">
        <is>
          <t>1. Tạo patient/family và lịch 08:00 qua fixture history_data.
2. Gắn fault injection allowed_insert theo test access.
3. GET /adherence, kiểm status/body, log, SQL history read và snapshot DB.</t>
        </is>
      </c>
      <c r="E19" s="8" t="inlineStr">
        <is>
          <t>failure=allowed_insert</t>
        </is>
      </c>
      <c r="F19" s="8" t="inlineStr">
        <is>
          <t>500 {detail: Internal server error}; no-store; không trả dữ liệu sức khỏe; không thay dose_logs; lỗi quyền/audit trước đọc thì không SELECT lịch sử.</t>
        </is>
      </c>
      <c r="G1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9" s="7" t="inlineStr">
        <is>
          <t>Pass</t>
        </is>
      </c>
      <c r="I19" s="8" t="inlineStr">
        <is>
          <t>PB21 · AC7 · Đoán lỗi (fail-closed) · test_audit_permission_and_commit_failure_fail_closed_without_health__AC13[allowed_insert] · evidence/test-contract-history-final.log/xml · Retest evidence/test-p7-integration.log/xml</t>
        </is>
      </c>
    </row>
    <row r="20" ht="156.5" customHeight="1">
      <c r="A20" s="7" t="inlineStr">
        <is>
          <t>TC-FADH-12</t>
        </is>
      </c>
      <c r="B20" s="7" t="inlineStr">
        <is>
          <t>Chặn lịch sử khi lỗi commit</t>
        </is>
      </c>
      <c r="C20" s="8" t="inlineStr">
        <is>
          <t>DB Supabase local reset sạch; dùng fixture history_data; patient P có health_data; family F liên kết active, sharing=true và family_sharing của P còn hiệu lực.</t>
        </is>
      </c>
      <c r="D20" s="8" t="inlineStr">
        <is>
          <t>1. Tạo patient/family và lịch 08:00 qua fixture history_data.
2. Gắn fault injection commit theo test access.
3. GET /adherence, kiểm status/body, log, SQL history read và snapshot DB.</t>
        </is>
      </c>
      <c r="E20" s="8" t="inlineStr">
        <is>
          <t>failure=commit</t>
        </is>
      </c>
      <c r="F20" s="8" t="inlineStr">
        <is>
          <t>500 {detail: Internal server error}; no-store; không trả dữ liệu sức khỏe; không thay dose_logs; lỗi quyền/audit trước đọc thì không SELECT lịch sử.</t>
        </is>
      </c>
      <c r="G20"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0" s="7" t="inlineStr">
        <is>
          <t>Pass</t>
        </is>
      </c>
      <c r="I20" s="8" t="inlineStr">
        <is>
          <t>PB21 · AC7 · Đoán lỗi (fail-closed) · test_audit_permission_and_commit_failure_fail_closed_without_health__AC13[commit] · evidence/test-contract-history-final.log/xml · Retest evidence/test-p7-integration.log/xml</t>
        </is>
      </c>
    </row>
    <row r="21" ht="156.5" customHeight="1">
      <c r="A21" s="7" t="inlineStr">
        <is>
          <t>TC-FADH-13</t>
        </is>
      </c>
      <c r="B21" s="7" t="inlineStr">
        <is>
          <t>Chặn lịch sử khi lỗi denied_insert</t>
        </is>
      </c>
      <c r="C21" s="8" t="inlineStr">
        <is>
          <t>DB Supabase local reset sạch; dùng fixture history_data; patient P có health_data; family F liên kết active, sharing=true và family_sharing của P còn hiệu lực.</t>
        </is>
      </c>
      <c r="D21" s="8" t="inlineStr">
        <is>
          <t>1. Tạo patient/family và lịch 08:00 qua fixture history_data.
2. Gắn fault injection denied_insert theo test access.
3. GET /adherence, kiểm status/body, log, SQL history read và snapshot DB.</t>
        </is>
      </c>
      <c r="E21" s="8" t="inlineStr">
        <is>
          <t>failure=denied_insert</t>
        </is>
      </c>
      <c r="F21" s="8" t="inlineStr">
        <is>
          <t>500 {detail: Internal server error}; no-store; không trả dữ liệu sức khỏe; không thay dose_logs; lỗi quyền/audit trước đọc thì không SELECT lịch sử.</t>
        </is>
      </c>
      <c r="G2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1" s="7" t="inlineStr">
        <is>
          <t>Pass</t>
        </is>
      </c>
      <c r="I21" s="8" t="inlineStr">
        <is>
          <t>PB21 · AC7 · Đoán lỗi (fail-closed) · test_audit_permission_and_commit_failure_fail_closed_without_health__AC13[denied_insert] · evidence/test-contract-history-final.log/xml · Retest evidence/test-p7-integration.log/xml</t>
        </is>
      </c>
    </row>
    <row r="22" ht="156.5" customHeight="1">
      <c r="A22" s="7" t="inlineStr">
        <is>
          <t>TC-FADH-14</t>
        </is>
      </c>
      <c r="B22" s="7" t="inlineStr">
        <is>
          <t>Chặn lịch sử khi lỗi permission_read</t>
        </is>
      </c>
      <c r="C22" s="8" t="inlineStr">
        <is>
          <t>DB Supabase local reset sạch; dùng fixture history_data; patient P có health_data; family F liên kết active, sharing=true và family_sharing của P còn hiệu lực.</t>
        </is>
      </c>
      <c r="D22" s="8" t="inlineStr">
        <is>
          <t>1. Tạo patient/family và lịch 08:00 qua fixture history_data.
2. Gắn fault injection permission_read theo test access.
3. GET /adherence, kiểm status/body, log, SQL history read và snapshot DB.</t>
        </is>
      </c>
      <c r="E22" s="8" t="inlineStr">
        <is>
          <t>failure=permission_read</t>
        </is>
      </c>
      <c r="F22" s="8" t="inlineStr">
        <is>
          <t>500 {detail: Internal server error}; no-store; không trả dữ liệu sức khỏe; không thay dose_logs; lỗi quyền/audit trước đọc thì không SELECT lịch sử.</t>
        </is>
      </c>
      <c r="G22"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2" s="7" t="inlineStr">
        <is>
          <t>Pass</t>
        </is>
      </c>
      <c r="I22" s="8" t="inlineStr">
        <is>
          <t>PB21 · AC7 · Đoán lỗi (fail-closed) · test_audit_permission_and_commit_failure_fail_closed_without_health__AC13[permission_read] · evidence/test-contract-history-final.log/xml · Retest evidence/test-p7-integration.log/xml</t>
        </is>
      </c>
    </row>
    <row r="23" ht="156.5" customHeight="1">
      <c r="A23" s="7" t="inlineStr">
        <is>
          <t>TC-FADH-15</t>
        </is>
      </c>
      <c r="B23" s="7" t="inlineStr">
        <is>
          <t>Giữ denied audit sau rollback nghiệp vụ</t>
        </is>
      </c>
      <c r="C23" s="8" t="inlineStr">
        <is>
          <t>DB Supabase local reset sạch; dùng fixture history_data; patient P có health_data; family F liên kết active, sharing=true và family_sharing của P còn hiệu lực. Thu hồi health_data.</t>
        </is>
      </c>
      <c r="D23" s="8" t="inlineStr">
        <is>
          <t>1. Gắn context theo dõi rollback như test.
2. GET /adherence bằng patient P.
3. Sau rollback đọc access_logs bằng kết nối DB riêng.</t>
        </is>
      </c>
      <c r="E23" s="8" t="inlineStr">
        <is>
          <t>health_data=thu_hoi</t>
        </is>
      </c>
      <c r="F23" s="8" t="inlineStr">
        <is>
          <t>403; outer transaction đã rollback; denied consent_revoked còn bền.</t>
        </is>
      </c>
      <c r="G23"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3" s="7" t="inlineStr">
        <is>
          <t>Pass</t>
        </is>
      </c>
      <c r="I23" s="8" t="inlineStr">
        <is>
          <t>PB21 · AC7 · Đoán lỗi (rollback) · test_denied_audit_survives_outer_transaction_rollback · evidence/test-contract-history-final.log/xml · Retest evidence/test-p7-integration.log/xml</t>
        </is>
      </c>
    </row>
    <row r="24" ht="156.5" customHeight="1">
      <c r="A24" s="7" t="inlineStr">
        <is>
          <t>TC-FADH-16</t>
        </is>
      </c>
      <c r="B24" s="7" t="inlineStr">
        <is>
          <t>Từ chối phiên missing</t>
        </is>
      </c>
      <c r="C24" s="8" t="inlineStr">
        <is>
          <t>DB Supabase local reset sạch; dùng fixture history_data; patient P có health_data; family F liên kết active, sharing=true và family_sharing của P còn hiệu lực.</t>
        </is>
      </c>
      <c r="D24" s="8" t="inlineStr">
        <is>
          <t>1. Chuẩn bị auth theo kind của test (không in token).
2. GET /adherence.
3. Kiểm 401, no-store, body chỉ có detail và không ghi allowed.</t>
        </is>
      </c>
      <c r="E24" s="8" t="inlineStr">
        <is>
          <t>kind=missing</t>
        </is>
      </c>
      <c r="F24" s="8" t="inlineStr">
        <is>
          <t>401; no-store; không trả dữ liệu sức khỏe; không có access_logs.</t>
        </is>
      </c>
      <c r="G24"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4" s="7" t="inlineStr">
        <is>
          <t>Pass</t>
        </is>
      </c>
      <c r="I24" s="8" t="inlineStr">
        <is>
          <t>PB21 · AC4 · Đoán lỗi (xác thực) · test_authentication_401_and_no_store_without_health_payload__AC14[missing] · evidence/test-contract-history-final.log/xml · Retest evidence/test-p7-integration.log/xml</t>
        </is>
      </c>
    </row>
    <row r="25" ht="156.5" customHeight="1">
      <c r="A25" s="7" t="inlineStr">
        <is>
          <t>TC-FADH-17</t>
        </is>
      </c>
      <c r="B25" s="7" t="inlineStr">
        <is>
          <t>Từ chối phiên invalid</t>
        </is>
      </c>
      <c r="C25" s="8" t="inlineStr">
        <is>
          <t>DB Supabase local reset sạch; dùng fixture history_data; patient P có health_data; family F liên kết active, sharing=true và family_sharing của P còn hiệu lực.</t>
        </is>
      </c>
      <c r="D25" s="8" t="inlineStr">
        <is>
          <t>1. Chuẩn bị auth theo kind của test (không in token).
2. GET /adherence.
3. Kiểm 401, no-store, body chỉ có detail và không ghi allowed.</t>
        </is>
      </c>
      <c r="E25" s="8" t="inlineStr">
        <is>
          <t>kind=invalid</t>
        </is>
      </c>
      <c r="F25" s="8" t="inlineStr">
        <is>
          <t>401; no-store; không trả dữ liệu sức khỏe; không có access_logs.</t>
        </is>
      </c>
      <c r="G25"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5" s="7" t="inlineStr">
        <is>
          <t>Pass</t>
        </is>
      </c>
      <c r="I25" s="8" t="inlineStr">
        <is>
          <t>PB21 · AC4 · Đoán lỗi (xác thực) · test_authentication_401_and_no_store_without_health_payload__AC14[invalid] · evidence/test-contract-history-final.log/xml · Retest evidence/test-p7-integration.log/xml</t>
        </is>
      </c>
    </row>
    <row r="26" ht="156.5" customHeight="1">
      <c r="A26" s="7" t="inlineStr">
        <is>
          <t>TC-FADH-18</t>
        </is>
      </c>
      <c r="B26" s="7" t="inlineStr">
        <is>
          <t>Từ chối phiên expired</t>
        </is>
      </c>
      <c r="C26" s="8" t="inlineStr">
        <is>
          <t>DB Supabase local reset sạch; dùng fixture history_data; patient P có health_data; family F liên kết active, sharing=true và family_sharing của P còn hiệu lực.</t>
        </is>
      </c>
      <c r="D26" s="8" t="inlineStr">
        <is>
          <t>1. Chuẩn bị auth theo kind của test (không in token).
2. GET /adherence.
3. Kiểm 401, no-store, body chỉ có detail và không ghi allowed.</t>
        </is>
      </c>
      <c r="E26" s="8" t="inlineStr">
        <is>
          <t>kind=expired</t>
        </is>
      </c>
      <c r="F26" s="8" t="inlineStr">
        <is>
          <t>401; no-store; không trả dữ liệu sức khỏe; không có access_logs.</t>
        </is>
      </c>
      <c r="G26"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6" s="7" t="inlineStr">
        <is>
          <t>Pass</t>
        </is>
      </c>
      <c r="I26" s="8" t="inlineStr">
        <is>
          <t>PB21 · AC4 · Đoán lỗi (xác thực) · test_authentication_401_and_no_store_without_health_payload__AC14[expired] · evidence/test-contract-history-final.log/xml · Retest evidence/test-p7-integration.log/xml</t>
        </is>
      </c>
    </row>
    <row r="27" ht="156.5" customHeight="1">
      <c r="A27" s="7" t="inlineStr">
        <is>
          <t>TC-FADH-19</t>
        </is>
      </c>
      <c r="B27" s="7" t="inlineStr">
        <is>
          <t>Từ chối phiên erased</t>
        </is>
      </c>
      <c r="C27" s="8" t="inlineStr">
        <is>
          <t>DB Supabase local reset sạch; dùng fixture history_data; patient P có health_data; family F liên kết active, sharing=true và family_sharing của P còn hiệu lực.</t>
        </is>
      </c>
      <c r="D27" s="8" t="inlineStr">
        <is>
          <t>1. Chuẩn bị auth theo kind của test (không in token).
2. GET /adherence.
3. Kiểm 401, no-store, body chỉ có detail và không ghi allowed.</t>
        </is>
      </c>
      <c r="E27" s="8" t="inlineStr">
        <is>
          <t>kind=erased</t>
        </is>
      </c>
      <c r="F27" s="8" t="inlineStr">
        <is>
          <t>401; no-store; không trả dữ liệu sức khỏe; không có access_logs.</t>
        </is>
      </c>
      <c r="G27"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7" s="7" t="inlineStr">
        <is>
          <t>Pass</t>
        </is>
      </c>
      <c r="I27" s="8" t="inlineStr">
        <is>
          <t>PB21 · AC4 · Đoán lỗi (xác thực) · test_authentication_401_and_no_store_without_health_payload__AC14[erased] · evidence/test-contract-history-final.log/xml · Retest evidence/test-p7-integration.log/xml</t>
        </is>
      </c>
    </row>
    <row r="28" ht="173" customHeight="1">
      <c r="A28" s="7" t="inlineStr">
        <is>
          <t>TC-FADH-20</t>
        </is>
      </c>
      <c r="B28" s="7" t="inlineStr">
        <is>
          <t>Tính ngay xác nhận tại -30 phút</t>
        </is>
      </c>
      <c r="C28" s="8" t="inlineStr">
        <is>
          <t>Unit application: access Mock cho phép, reader trả một HistoryRow; chưa chứng minh PEP/DB.</t>
        </is>
      </c>
      <c r="D28" s="8" t="inlineStr">
        <is>
          <t>1. Chạy test tại backend/tests/unit/test_get_adherence_history.py với delay0, cả group_by=date và medication.
2. Quan sát ở đúng taken_at; kiểm summary, nhóm và một dose.</t>
        </is>
      </c>
      <c r="E28" s="8" t="inlineStr">
        <is>
          <t>scheduled_at=08:00 +07; delay=-30 phút; status=da_uong</t>
        </is>
      </c>
      <c r="F28" s="8" t="inlineStr">
        <is>
          <t>total=1, counted=1, rate=100.00; taken/late đúng trạng thái; đúng một liều ngay khi xác nhận.</t>
        </is>
      </c>
      <c r="G28" s="8" t="inlineStr">
        <is>
          <t>Hai ca unit và hai ca family API/DB (date/medication) Fail: xác nhận -30 được nhận, dose_log tồn tại và audit allowed nhưng lịch sử total/taken/counted=0, rate=null thay vì 1/100. Lượt P7 chạy lại toàn backend integration: nhóm history API/PEP 66 Pass/2 Fail, TC20 vẫn Fail ở hai grouping; các ca khác trong nhóm này giữ kết quả. evidence/test-p7-integration.log/xml.</t>
        </is>
      </c>
      <c r="H28" s="7" t="inlineStr">
        <is>
          <t>Fail</t>
        </is>
      </c>
      <c r="I28" s="8" t="inlineStr">
        <is>
          <t>PB21 · AC2,AC3 · BVA (-30 phút) · EP (2) · test_confirmed_before_deadline_counts_immediately__AC3[delay0- · evidence/test-contract-unit.log/xml · test_family_early_confirmation_counts_immediately__AC3 · evidence/test-contract-history-final.log/xml · Retest evidence/test-p7-integration.log/xml</t>
        </is>
      </c>
    </row>
    <row r="29" ht="90.5" customHeight="1">
      <c r="A29" s="7" t="inlineStr">
        <is>
          <t>TC-FADH-21</t>
        </is>
      </c>
      <c r="B29" s="7" t="inlineStr">
        <is>
          <t>Tính ngay xác nhận tại 0 phút</t>
        </is>
      </c>
      <c r="C29" s="8" t="inlineStr">
        <is>
          <t>Unit application: access Mock cho phép, reader trả một HistoryRow; chưa chứng minh PEP/DB.</t>
        </is>
      </c>
      <c r="D29" s="8" t="inlineStr">
        <is>
          <t>1. Chạy test tại backend/tests/unit/test_get_adherence_history.py với delay1, cả group_by=date và medication.
2. Quan sát ở đúng taken_at; kiểm summary, nhóm và một dose.</t>
        </is>
      </c>
      <c r="E29" s="8" t="inlineStr">
        <is>
          <t>scheduled_at=08:00 +07; delay=0 phút; status=da_uong</t>
        </is>
      </c>
      <c r="F29" s="8" t="inlineStr">
        <is>
          <t>total=1, counted=1, rate=100.00; taken/late đúng trạng thái; đúng một liều ngay khi xác nhận.</t>
        </is>
      </c>
      <c r="G29" s="8" t="inlineStr">
        <is>
          <t>2 ca Pass trong lần chạy sau khôi phục contract, 25/10/2026. Unit; chưa thay bằng chứng API/DB.</t>
        </is>
      </c>
      <c r="H29" s="7" t="inlineStr">
        <is>
          <t>Pass</t>
        </is>
      </c>
      <c r="I29" s="8" t="inlineStr">
        <is>
          <t>PB21 · AC2,AC3 · BVA (0 phút) · EP (2) · test_confirmed_before_deadline_counts_immediately__AC3[delay1- · evidence/test-contract-unit.log/xml</t>
        </is>
      </c>
    </row>
    <row r="30" ht="90.5" customHeight="1">
      <c r="A30" s="7" t="inlineStr">
        <is>
          <t>TC-FADH-22</t>
        </is>
      </c>
      <c r="B30" s="7" t="inlineStr">
        <is>
          <t>Tính ngay xác nhận tại +30 phút</t>
        </is>
      </c>
      <c r="C30" s="8" t="inlineStr">
        <is>
          <t>Unit application: access Mock cho phép, reader trả một HistoryRow; chưa chứng minh PEP/DB.</t>
        </is>
      </c>
      <c r="D30" s="8" t="inlineStr">
        <is>
          <t>1. Chạy test tại backend/tests/unit/test_get_adherence_history.py với delay2, cả group_by=date và medication.
2. Quan sát ở đúng taken_at; kiểm summary, nhóm và một dose.</t>
        </is>
      </c>
      <c r="E30" s="8" t="inlineStr">
        <is>
          <t>scheduled_at=08:00 +07; delay=+30 phút; status=da_uong</t>
        </is>
      </c>
      <c r="F30" s="8" t="inlineStr">
        <is>
          <t>total=1, counted=1, rate=100.00; taken/late đúng trạng thái; đúng một liều ngay khi xác nhận.</t>
        </is>
      </c>
      <c r="G30" s="8" t="inlineStr">
        <is>
          <t>2 ca Pass trong lần chạy sau khôi phục contract, 25/10/2026. Unit; chưa thay bằng chứng API/DB.</t>
        </is>
      </c>
      <c r="H30" s="7" t="inlineStr">
        <is>
          <t>Pass</t>
        </is>
      </c>
      <c r="I30" s="8" t="inlineStr">
        <is>
          <t>PB21 · AC2,AC3 · BVA (+30 phút) · EP (2) · test_confirmed_before_deadline_counts_immediately__AC3[delay2- · evidence/test-contract-unit.log/xml</t>
        </is>
      </c>
    </row>
    <row r="31" ht="90.5" customHeight="1">
      <c r="A31" s="7" t="inlineStr">
        <is>
          <t>TC-FADH-23</t>
        </is>
      </c>
      <c r="B31" s="7" t="inlineStr">
        <is>
          <t>Tính ngay xác nhận tại +30 phút +1µs</t>
        </is>
      </c>
      <c r="C31" s="8" t="inlineStr">
        <is>
          <t>Unit application: access Mock cho phép, reader trả một HistoryRow; chưa chứng minh PEP/DB.</t>
        </is>
      </c>
      <c r="D31" s="8" t="inlineStr">
        <is>
          <t>1. Chạy test tại backend/tests/unit/test_get_adherence_history.py với delay3, cả group_by=date và medication.
2. Quan sát ở đúng taken_at; kiểm summary, nhóm và một dose.</t>
        </is>
      </c>
      <c r="E31" s="8" t="inlineStr">
        <is>
          <t>scheduled_at=08:00 +07; delay=+30 phút +1µs; status=uong_tre</t>
        </is>
      </c>
      <c r="F31" s="8" t="inlineStr">
        <is>
          <t>total=1, counted=1, rate=100.00; taken/late đúng trạng thái; đúng một liều ngay khi xác nhận.</t>
        </is>
      </c>
      <c r="G31" s="8" t="inlineStr">
        <is>
          <t>2 ca Pass trong lần chạy sau khôi phục contract, 25/10/2026. Unit; chưa thay bằng chứng API/DB.</t>
        </is>
      </c>
      <c r="H31" s="7" t="inlineStr">
        <is>
          <t>Pass</t>
        </is>
      </c>
      <c r="I31" s="8" t="inlineStr">
        <is>
          <t>PB21 · AC2,AC3 · BVA (+30 phút +1µs) · EP (2) · test_confirmed_before_deadline_counts_immediately__AC3[delay3- · evidence/test-contract-unit.log/xml</t>
        </is>
      </c>
    </row>
    <row r="32" ht="90.5" customHeight="1">
      <c r="A32" s="7" t="inlineStr">
        <is>
          <t>TC-FADH-24</t>
        </is>
      </c>
      <c r="B32" s="7" t="inlineStr">
        <is>
          <t>Tính ngay xác nhận tại +119 phút 59 giây</t>
        </is>
      </c>
      <c r="C32" s="8" t="inlineStr">
        <is>
          <t>Unit application: access Mock cho phép, reader trả một HistoryRow; chưa chứng minh PEP/DB.</t>
        </is>
      </c>
      <c r="D32" s="8" t="inlineStr">
        <is>
          <t>1. Chạy test tại backend/tests/unit/test_get_adherence_history.py với delay4, cả group_by=date và medication.
2. Quan sát ở đúng taken_at; kiểm summary, nhóm và một dose.</t>
        </is>
      </c>
      <c r="E32" s="8" t="inlineStr">
        <is>
          <t>scheduled_at=08:00 +07; delay=+119 phút 59 giây; status=uong_tre</t>
        </is>
      </c>
      <c r="F32" s="8" t="inlineStr">
        <is>
          <t>total=1, counted=1, rate=100.00; taken/late đúng trạng thái; đúng một liều ngay khi xác nhận.</t>
        </is>
      </c>
      <c r="G32" s="8" t="inlineStr">
        <is>
          <t>2 ca Pass trong lần chạy sau khôi phục contract, 25/10/2026. Unit; chưa thay bằng chứng API/DB.</t>
        </is>
      </c>
      <c r="H32" s="7" t="inlineStr">
        <is>
          <t>Pass</t>
        </is>
      </c>
      <c r="I32" s="8" t="inlineStr">
        <is>
          <t>PB21 · AC2,AC3 · BVA (+119 phút 59 giây) · EP (2) · test_confirmed_before_deadline_counts_immediately__AC3[delay4- · evidence/test-contract-unit.log/xml</t>
        </is>
      </c>
    </row>
    <row r="33" ht="90.5" customHeight="1">
      <c r="A33" s="7" t="inlineStr">
        <is>
          <t>TC-FADH-25</t>
        </is>
      </c>
      <c r="B33" s="7" t="inlineStr">
        <is>
          <t>Tính ngay xác nhận tại +120 phút</t>
        </is>
      </c>
      <c r="C33" s="8" t="inlineStr">
        <is>
          <t>Unit application: access Mock cho phép, reader trả một HistoryRow; chưa chứng minh PEP/DB.</t>
        </is>
      </c>
      <c r="D33" s="8" t="inlineStr">
        <is>
          <t>1. Chạy test tại backend/tests/unit/test_get_adherence_history.py với delay5, cả group_by=date và medication.
2. Quan sát ở đúng taken_at; kiểm summary, nhóm và một dose.</t>
        </is>
      </c>
      <c r="E33" s="8" t="inlineStr">
        <is>
          <t>scheduled_at=08:00 +07; delay=+120 phút; status=uong_tre</t>
        </is>
      </c>
      <c r="F33" s="8" t="inlineStr">
        <is>
          <t>total=1, counted=1, rate=100.00; taken/late đúng trạng thái; đúng một liều ngay khi xác nhận.</t>
        </is>
      </c>
      <c r="G33" s="8" t="inlineStr">
        <is>
          <t>2 ca Pass trong lần chạy sau khôi phục contract, 25/10/2026. Unit; chưa thay bằng chứng API/DB.</t>
        </is>
      </c>
      <c r="H33" s="7" t="inlineStr">
        <is>
          <t>Pass</t>
        </is>
      </c>
      <c r="I33" s="8" t="inlineStr">
        <is>
          <t>PB21 · AC2,AC3 · BVA (+120 phút) · EP (2) · test_confirmed_before_deadline_counts_immediately__AC3[delay5- · evidence/test-contract-unit.log/xml</t>
        </is>
      </c>
    </row>
    <row r="34" ht="107" customHeight="1">
      <c r="A34" s="7" t="inlineStr">
        <is>
          <t>TC-FADH-26</t>
        </is>
      </c>
      <c r="B34" s="7" t="inlineStr">
        <is>
          <t>Chuyển pending tại +120 thành missed ngay sau hạn</t>
        </is>
      </c>
      <c r="C34" s="8" t="inlineStr">
        <is>
          <t>Unit: một liều taken và một liều chưa xác nhận; thử cả status=None và bo_lo cũ.</t>
        </is>
      </c>
      <c r="D34" s="8" t="inlineStr">
        <is>
          <t>1. Chạy backend/tests/unit/test_get_adherence_history.py::test_unconfirmed_pending_at_deadline_then_missed__AC3.
2. So summary tại +120 và +120+1µs, hai kiểu nhóm.</t>
        </is>
      </c>
      <c r="E34" s="8" t="inlineStr">
        <is>
          <t>scheduled=08:00; as_of=10:00 và 10:00:00.000001 +07</t>
        </is>
      </c>
      <c r="F34" s="8" t="inlineStr">
        <is>
          <t>Tại hạn pending=1,counted=1,rate=100; sau hạn missed=1,counted=2,rate=50; không nhân đôi liều.</t>
        </is>
      </c>
      <c r="G34" s="8" t="inlineStr">
        <is>
          <t>4 ca Pass trong lần chạy sau khôi phục contract, 25/10/2026. Unit; chưa thay bằng chứng API/DB.</t>
        </is>
      </c>
      <c r="H34" s="7" t="inlineStr">
        <is>
          <t>Pass</t>
        </is>
      </c>
      <c r="I34" s="8" t="inlineStr">
        <is>
          <t>PB21 · AC2,AC3 · BVA (max,max+1) · Chuyển trạng thái (pending → missed) · test_unconfirmed_pending_at_deadline_then_missed__AC3 · evidence/test-contract-unit.log/xml</t>
        </is>
      </c>
    </row>
    <row r="35" ht="90.5" customHeight="1">
      <c r="A35" s="7" t="inlineStr">
        <is>
          <t>TC-FADH-27</t>
        </is>
      </c>
      <c r="B35" s="7" t="inlineStr">
        <is>
          <t>Trả tỷ lệ null khi không có mẫu số</t>
        </is>
      </c>
      <c r="C35" s="8" t="inlineStr">
        <is>
          <t>Unit: không có liều hoặc chỉ có pending.</t>
        </is>
      </c>
      <c r="D35" s="8" t="inlineStr">
        <is>
          <t>1. Chạy backend/tests/unit/test_get_adherence_history.py::test_no_eligible_dose_has_null_rate__AC3.
2. Kiểm date và medication, có/không có pending.</t>
        </is>
      </c>
      <c r="E35" s="8" t="inlineStr">
        <is>
          <t>as_of=10:00 +07; counted=0</t>
        </is>
      </c>
      <c r="F35" s="8" t="inlineStr">
        <is>
          <t>adherence_rate=None; trường hợp rỗng không có nhóm, pending không vào mẫu số.</t>
        </is>
      </c>
      <c r="G35" s="8" t="inlineStr">
        <is>
          <t>4 ca Pass trong lần chạy sau khôi phục contract, 25/10/2026. Unit; chưa thay bằng chứng API/DB.</t>
        </is>
      </c>
      <c r="H35" s="7" t="inlineStr">
        <is>
          <t>Pass</t>
        </is>
      </c>
      <c r="I35" s="8" t="inlineStr">
        <is>
          <t>PB21 · AC3 · EP (3) · test_no_eligible_dose_has_null_rate__AC3 · evidence/test-contract-unit.log/xml</t>
        </is>
      </c>
    </row>
    <row r="36" ht="107" customHeight="1">
      <c r="A36" s="7" t="inlineStr">
        <is>
          <t>TC-FADH-28</t>
        </is>
      </c>
      <c r="B36" s="7" t="inlineStr">
        <is>
          <t>Không tăng tỷ lệ khi thực uống sau hạn</t>
        </is>
      </c>
      <c r="C36" s="8" t="inlineStr">
        <is>
          <t>Unit: tạo DoseConfirmation tại +120+1µs.</t>
        </is>
      </c>
      <c r="D36" s="8" t="inlineStr">
        <is>
          <t>1. Chạy backend/tests/unit/test_get_adherence_history.py::test_after_deadline_confirmation_does_not_raise_rate__AC3.
2. So lịch sử trước và sau xác nhận, cả hai kiểu nhóm.</t>
        </is>
      </c>
      <c r="E36" s="8" t="inlineStr">
        <is>
          <t>taken_at=10:00:00.000001 +07 cho lịch 08:00</t>
        </is>
      </c>
      <c r="F36" s="8" t="inlineStr">
        <is>
          <t>status=bo_lo; counted=1, rate=0.00 trước và sau.</t>
        </is>
      </c>
      <c r="G36" s="8" t="inlineStr">
        <is>
          <t>2 ca Pass trong lần chạy sau khôi phục contract, 25/10/2026. Unit; chưa thay bằng chứng API/DB.</t>
        </is>
      </c>
      <c r="H36" s="7" t="inlineStr">
        <is>
          <t>Pass</t>
        </is>
      </c>
      <c r="I36" s="8" t="inlineStr">
        <is>
          <t>PB21 · AC3 · BVA (max+1) · Chuyển trạng thái (missed không trở thành tuân thủ) · test_after_deadline_confirmation_does_not_raise_rate__AC3 · evidence/test-contract-unit.log/xml</t>
        </is>
      </c>
    </row>
    <row r="37" ht="123.5" customHeight="1">
      <c r="A37" s="7" t="inlineStr">
        <is>
          <t>TC-FADH-29</t>
        </is>
      </c>
      <c r="B37" s="7" t="inlineStr">
        <is>
          <t>Tính xác nhận hợp lệ được đồng bộ sau hạn</t>
        </is>
      </c>
      <c r="C37" s="8" t="inlineStr">
        <is>
          <t>Unit: thực uống +90 nhưng sync +121 phút.</t>
        </is>
      </c>
      <c r="D37" s="8" t="inlineStr">
        <is>
          <t>1. Chạy backend/tests/unit/test_get_adherence_history.py::test_valid_confirmation_synced_after_deadline_still_counts__AC3.
2. Kiểm status, taken_at và tỷ lệ.</t>
        </is>
      </c>
      <c r="E37" s="8" t="inlineStr">
        <is>
          <t>scheduled=08:00; taken=09:30; synced=10:01 +07</t>
        </is>
      </c>
      <c r="F37" s="8" t="inlineStr">
        <is>
          <t>uong_tre; total=late=counted=1, rate=100.00; taken_at=09:30.</t>
        </is>
      </c>
      <c r="G37" s="8" t="inlineStr">
        <is>
          <t>2 ca Pass trong lần chạy sau khôi phục contract, 25/10/2026. Unit; chưa thay bằng chứng API/DB. Lượt P7 chạy lại toàn backend integration: nhóm history API/PEP 66 Pass/2 Fail, TC20 vẫn Fail ở hai grouping; các ca khác trong nhóm này giữ kết quả. evidence/test-p7-integration.log/xml.</t>
        </is>
      </c>
      <c r="H37" s="7" t="inlineStr">
        <is>
          <t>Pass</t>
        </is>
      </c>
      <c r="I37" s="8" t="inlineStr">
        <is>
          <t>PB21 · AC3 · Chuyển trạng thái (đồng bộ muộn) · test_valid_confirmation_synced_after_deadline_still_counts__AC3 · evidence/test-contract-unit.log/xml · Retest evidence/test-p7-integration.log/xml</t>
        </is>
      </c>
    </row>
    <row r="38" ht="156.5" customHeight="1">
      <c r="A38" s="7" t="inlineStr">
        <is>
          <t>TC-FADH-30</t>
        </is>
      </c>
      <c r="B38" s="7" t="inlineStr">
        <is>
          <t>Phân nhóm và tính tỷ lệ 80% trên DB thật</t>
        </is>
      </c>
      <c r="C38" s="8" t="inlineStr">
        <is>
          <t>DB Supabase local reset sạch; dùng fixture history_data; patient P có health_data; family F liên kết active, sharing=true và family_sharing của P còn hiệu lực.</t>
        </is>
      </c>
      <c r="D38" s="8" t="inlineStr">
        <is>
          <t>1. Tạo patient/family và lịch 08:00 qua fixture history_data.
2. Gọi GET /adherence?patient_id=P&amp;from=2026-10-19&amp;to=2026-10-19 bằng app session của F.
3. Đối chiếu response, dose_logs và access_logs bằng assertion của test nêu ở Comments.</t>
        </is>
      </c>
      <c r="E38" s="8" t="inlineStr">
        <is>
          <t>3 taken,1 late,1 missed; hai thuốc trùng tên khác ID</t>
        </is>
      </c>
      <c r="F38" s="8" t="inlineStr">
        <is>
          <t>Hai kiểu nhóm có tổng 5, counted=5,rate=80; ID thuốc không bị gộp nhầm; no-store, allowed và DB không đổi.</t>
        </is>
      </c>
      <c r="G38"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38" s="7" t="inlineStr">
        <is>
          <t>Pass</t>
        </is>
      </c>
      <c r="I38" s="8" t="inlineStr">
        <is>
          <t>PB21 · AC1,AC2,AC3 · EP (1) · test_patient_history_by_date_medication_groups_and_80_percent · evidence/test-contract-history-final.log/xml · Retest evidence/test-p7-integration.log/xml</t>
        </is>
      </c>
    </row>
    <row r="39" ht="156.5" customHeight="1">
      <c r="A39" s="7" t="inlineStr">
        <is>
          <t>TC-FADH-31</t>
        </is>
      </c>
      <c r="B39" s="7" t="inlineStr">
        <is>
          <t>Giữ đúng ngày Việt Nam qua nửa đêm</t>
        </is>
      </c>
      <c r="C39" s="8" t="inlineStr">
        <is>
          <t>DB Supabase local reset sạch; dùng fixture history_data; patient P có health_data; family F liên kết active, sharing=true và family_sharing của P còn hiệu lực.</t>
        </is>
      </c>
      <c r="D39" s="8" t="inlineStr">
        <is>
          <t>1. Tạo patient/family và lịch 08:00 qua fixture history_data.
2. Gọi GET /adherence?patient_id=P&amp;from=2026-10-19&amp;to=2026-10-19 bằng app session của F.
3. Đối chiếu response, dose_logs và access_logs bằng assertion của test nêu ở Comments.</t>
        </is>
      </c>
      <c r="E39" s="8" t="inlineStr">
        <is>
          <t>Lịch và xác nhận hai phía 00:00 Asia/Ho_Chi_Minh</t>
        </is>
      </c>
      <c r="F39" s="8" t="inlineStr">
        <is>
          <t>Nhóm theo ngày scheduled_at ở Việt Nam, thứ tự ngày đúng, không nhân đôi liều.</t>
        </is>
      </c>
      <c r="G3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39" s="7" t="inlineStr">
        <is>
          <t>Pass</t>
        </is>
      </c>
      <c r="I39" s="8" t="inlineStr">
        <is>
          <t>PB21 · AC2 · BVA (ngày) · test_scheduled_date_across_midnight · evidence/test-contract-history-final.log/xml · Retest evidence/test-p7-integration.log/xml</t>
        </is>
      </c>
    </row>
    <row r="40" ht="74" customHeight="1">
      <c r="A40" s="7" t="inlineStr">
        <is>
          <t>TC-FADH-32</t>
        </is>
      </c>
      <c r="B40" s="7" t="inlineStr">
        <is>
          <t>Chấp nhận khoảng ngày 90 và chặn 91 ngày</t>
        </is>
      </c>
      <c r="C40" s="8" t="inlineStr">
        <is>
          <t>Unit resolve_range; không có DB.</t>
        </is>
      </c>
      <c r="D40" s="8" t="inlineStr">
        <is>
          <t>1. Chạy tests/unit/test_adherence_history.py::test_inclusive_90_allowed_91_rejected.</t>
        </is>
      </c>
      <c r="E40" s="8" t="inlineStr">
        <is>
          <t>Khoảng bao gồm hai đầu dài 90 và 91 ngày</t>
        </is>
      </c>
      <c r="F40" s="8" t="inlineStr">
        <is>
          <t>90 được chấp nhận; 91 bị từ chối.</t>
        </is>
      </c>
      <c r="G40" s="8" t="inlineStr">
        <is>
          <t>1 ca Pass trong lần chạy sau khôi phục contract, 25/10/2026. Unit; chưa thay bằng chứng API/DB.</t>
        </is>
      </c>
      <c r="H40" s="7" t="inlineStr">
        <is>
          <t>Pass</t>
        </is>
      </c>
      <c r="I40" s="8" t="inlineStr">
        <is>
          <t>PB21 · AC2 · BVA (max,max+1) · test_inclusive_90_allowed_91_rejected · evidence/test-contract-unit.log/xml</t>
        </is>
      </c>
    </row>
    <row r="41" ht="156.5" customHeight="1">
      <c r="A41" s="7" t="inlineStr">
        <is>
          <t>TC-FADH-33</t>
        </is>
      </c>
      <c r="B41" s="7" t="inlineStr">
        <is>
          <t>Không tạo trùng khi sync lại cùng client_uuid</t>
        </is>
      </c>
      <c r="C41" s="8" t="inlineStr">
        <is>
          <t>DB Supabase local reset sạch; dùng fixture history_data; patient P có health_data; family F liên kết active, sharing=true và family_sharing của P còn hiệu lực.</t>
        </is>
      </c>
      <c r="D41" s="8" t="inlineStr">
        <is>
          <t>1. Chạy backend/tests/integration/test_adherence_history_api.py::test_late_sync_worker_log_and_retry_keep_one_occurrence__AC15_AC20.
2. Kiểm một occurrence, client_uuid và status sau Worker + retry.</t>
        </is>
      </c>
      <c r="E41" s="8" t="inlineStr">
        <is>
          <t>taken +90; sync sau +120; cùng client_uuid hai lần</t>
        </is>
      </c>
      <c r="F41" s="8" t="inlineStr">
        <is>
          <t>Một dose_log và một occurrence; giữ xác nhận hợp lệ; lịch sử phản ánh liều trễ.</t>
        </is>
      </c>
      <c r="G4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41" s="7" t="inlineStr">
        <is>
          <t>Pass</t>
        </is>
      </c>
      <c r="I41" s="8" t="inlineStr">
        <is>
          <t>PB21 · AC2,AC3 · Đoán lỗi (idempotency) · test_late_sync_worker_log_and_retry_keep_one_occurrence · evidence/test-contract-history-final.log/xml · Retest evidence/test-p7-integration.log/xml</t>
        </is>
      </c>
    </row>
    <row r="42" ht="156.5" customHeight="1">
      <c r="A42" s="7" t="inlineStr">
        <is>
          <t>TC-FADH-34</t>
        </is>
      </c>
      <c r="B42" s="7" t="inlineStr">
        <is>
          <t>Giữ xác nhận khi Worker chạy đua</t>
        </is>
      </c>
      <c r="C42" s="8" t="inlineStr">
        <is>
          <t>DB Supabase local reset sạch; dùng fixture history_data; patient P có health_data; family F liên kết active, sharing=true và family_sharing của P còn hiệu lực.</t>
        </is>
      </c>
      <c r="D42" s="8" t="inlineStr">
        <is>
          <t>1. Chạy backend/tests/integration/test_adherence_history_api.py::test_worker_insert_races_with_valid_late_confirmation__AC15_AC20_AC22.
2. Thử worker/confirmation ghi trước; kiểm một liều và trạng thái cuối.</t>
        </is>
      </c>
      <c r="E42" s="8" t="inlineStr">
        <is>
          <t>first_writer=worker/confirmation; taken hợp lệ +90</t>
        </is>
      </c>
      <c r="F42" s="8" t="inlineStr">
        <is>
          <t>Một occurrence/dose_log; uong_tre; không ghi đè xác nhận hợp lệ.</t>
        </is>
      </c>
      <c r="G42" s="8" t="inlineStr">
        <is>
          <t>2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42" s="7" t="inlineStr">
        <is>
          <t>Pass</t>
        </is>
      </c>
      <c r="I42" s="8" t="inlineStr">
        <is>
          <t>PB21 · AC2,AC3 · Đoán lỗi (race) · test_worker_insert_races_with_valid_late_confirmation · evidence/test-contract-history-final.log/xml · Retest evidence/test-p7-integration.log/xml</t>
        </is>
      </c>
    </row>
    <row r="43" ht="222.5" customHeight="1">
      <c r="A43" s="7" t="inlineStr">
        <is>
          <t>TC-FADH-35</t>
        </is>
      </c>
      <c r="B43" s="7" t="inlineStr">
        <is>
          <t>Kiểm biên xác nhận ngay trước −30 phút</t>
        </is>
      </c>
      <c r="C43" s="8" t="inlineStr">
        <is>
          <t>Supabase local; patient P có health_data và lịch schedule_id=S ngày 19/10/2026 lúc 08:00 +07; chưa có dose_log cho occurrence; đồng hồ test cố định sau taken_at; dùng bearer của P để xác nhận, không dùng family F.</t>
        </is>
      </c>
      <c r="D43" s="8" t="inlineStr">
        <is>
          <t>1. Ghi số dose_logs của (S, 2026-10-19T08:00:00+07:00) trước khi gọi API.
2. POST /doses/batch bằng bearer P với JSON array gồm một item: client_uuid=UUID v4 mới, schedule_id=S, scheduled_at=2026-10-19T08:00:00+07:00, taken_at=2026-10-19T07:29:59.999999+07:00.
3. Kiểm item bị từ chối theo cửa sổ QD-03; đối chiếu response với contract chuẩn khi có.
4. Đọc DB: không có xác nhận hợp lệ mới, số dose_logs của occurrence không tăng. GET lịch sử một mình không thay thế thao tác POST xác nhận này.</t>
        </is>
      </c>
      <c r="E43" s="8" t="inlineStr">
        <is>
          <t>scheduled=08:00; taken=07:29:59.999999 +07</t>
        </is>
      </c>
      <c r="F43" s="8" t="inlineStr">
        <is>
          <t>Bị từ chối theo cửa sổ xác nhận QD-03; không tạo xác nhận hợp lệ.</t>
        </is>
      </c>
      <c r="G43" s="8" t="inlineStr">
        <is>
          <t>Hai cách nhóm date/medication Pass trên API/DB thật. POST batch trả 200, item failed=1/taken_at_too_early; không tạo dose_log; family GET trả lịch sử rỗng, audit allowed. Lượt P7 chạy lại toàn backend integration: nhóm history API/PEP 66 Pass/2 Fail, TC20 vẫn Fail ở hai grouping; các ca khác trong nhóm này giữ kết quả. evidence/test-p7-integration.log/xml.</t>
        </is>
      </c>
      <c r="H43" s="7" t="inlineStr">
        <is>
          <t>Pass</t>
        </is>
      </c>
      <c r="I43" s="8" t="inlineStr">
        <is>
          <t>PB21 · AC2,AC3 · BVA (min-1) · test_family_confirmation_adjacent_boundaries__AC2_AC3[before-early-window] · evidence/test-contract-history-final.log/xml · Retest evidence/test-p7-integration.log/xml</t>
        </is>
      </c>
    </row>
    <row r="44" ht="173" customHeight="1">
      <c r="A44" s="7" t="inlineStr">
        <is>
          <t>TC-FADH-36</t>
        </is>
      </c>
      <c r="B44" s="7" t="inlineStr">
        <is>
          <t>Kiểm biên ngay trước +30 phút</t>
        </is>
      </c>
      <c r="C44" s="8" t="inlineStr">
        <is>
          <t>DB Supabase local reset sạch; dùng fixture history_data; patient P có health_data; family F liên kết active, sharing=true và family_sharing của P còn hiệu lực.</t>
        </is>
      </c>
      <c r="D44" s="8" t="inlineStr">
        <is>
          <t>1. Tạo patient/family và lịch 08:00 qua fixture history_data.
2. Dùng bearer P POST /doses/batch: client_uuid mới, schedule_id=S, scheduled_at=08:00, taken_at=08:29:59.999999 +07; đồng hồ test bằng taken_at; kiểm item synced/da_uong.
3. Gọi GET /adherence?patient_id=P&amp;from=2026-10-19&amp;to=2026-10-19 bằng app session của F.
4. Đối chiếu response, dose_logs và access_logs bằng assertion của test nêu ở Comments.</t>
        </is>
      </c>
      <c r="E44" s="8" t="inlineStr">
        <is>
          <t>scheduled=08:00; taken=08:29:59.999999 +07</t>
        </is>
      </c>
      <c r="F44" s="8" t="inlineStr">
        <is>
          <t>da_uong; tỷ lệ có liều hợp lệ ngay khi xác nhận.</t>
        </is>
      </c>
      <c r="G44" s="8" t="inlineStr">
        <is>
          <t>Hai cách nhóm date/medication Pass trên API/DB thật. POST xác nhận 08:29:59.999999 hợp lệ; family GET có một da_uong, counted=1/rate=100 ngay, audit allowed; GET không đổi dose_log. Lượt P7 chạy lại toàn backend integration: nhóm history API/PEP 66 Pass/2 Fail, TC20 vẫn Fail ở hai grouping; các ca khác trong nhóm này giữ kết quả. evidence/test-p7-integration.log/xml.</t>
        </is>
      </c>
      <c r="H44" s="7" t="inlineStr">
        <is>
          <t>Pass</t>
        </is>
      </c>
      <c r="I44" s="8" t="inlineStr">
        <is>
          <t>PB21 · AC2,AC3 · BVA (+30-1) · test_family_confirmation_adjacent_boundaries__AC2_AC3[before-on-time-deadline] · evidence/test-contract-history-final.log/xml · Retest evidence/test-p7-integration.log/xml</t>
        </is>
      </c>
    </row>
    <row r="45" ht="123.5" customHeight="1">
      <c r="A45" s="7" t="inlineStr">
        <is>
          <t>TC-FADH-37</t>
        </is>
      </c>
      <c r="B45" s="7" t="inlineStr">
        <is>
          <t>Loại liều hủy và biểu diễn xung đột/đối soát</t>
        </is>
      </c>
      <c r="C45" s="8" t="inlineStr">
        <is>
          <t>DB Supabase local reset sạch; dùng fixture history_data; patient P có health_data; family F liên kết active, sharing=true và family_sharing của P còn hiệu lực.</t>
        </is>
      </c>
      <c r="D45" s="8" t="inlineStr">
        <is>
          <t>1. Đối chiếu contract 3.23 với QD-42.
2. Khi schema hỗ trợ, tạo liều hủy/xung đột/đối soát theo fixture thật.
3. Gọi GET /adherence?patient_id=P&amp;from=2026-10-19&amp;to=2026-10-19 bằng app session của F.
4. Đối chiếu response, dose_logs và access_logs bằng assertion của test nêu ở Comments.</t>
        </is>
      </c>
      <c r="E45" s="8" t="inlineStr">
        <is>
          <t>Liều hủy; liều xung đột; liều đối soát</t>
        </is>
      </c>
      <c r="F45" s="8" t="inlineStr">
        <is>
          <t>Loại liều hủy; nhãn tạm thời, tính lại và thời điểm/phiên bản cập nhật theo QD-42 được đặc tả và kiểm chứng.</t>
        </is>
      </c>
      <c r="G45" s="8" t="inlineStr"/>
      <c r="H45" s="7" t="inlineStr">
        <is>
          <t>Pending</t>
        </is>
      </c>
      <c r="I45" s="8" t="inlineStr">
        <is>
          <t>PB21 · AC8 · Chuyển trạng thái (đối soát) · Pending: dữ liệu/field đối soát chưa được đặc tả; không tạo oracle giả.</t>
        </is>
      </c>
    </row>
    <row r="46" ht="107" customHeight="1">
      <c r="A46" s="7" t="inlineStr">
        <is>
          <t>TC-FADH-38</t>
        </is>
      </c>
      <c r="B46" s="7" t="inlineStr">
        <is>
          <t>Kiểm tỷ lệ đúng giờ riêng theo QD-42</t>
        </is>
      </c>
      <c r="C46" s="8" t="inlineStr">
        <is>
          <t>DB Supabase local reset sạch; dùng fixture history_data; patient P có health_data; family F liên kết active, sharing=true và family_sharing của P còn hiệu lực.</t>
        </is>
      </c>
      <c r="D46" s="8" t="inlineStr">
        <is>
          <t>1. Đọc định nghĩa tử số/mẫu số và field trong contract 3.23.
2. Tạo liều đúng giờ, trễ, pending và missed; GET /adherence.
3. So tỷ lệ với công thức đã chốt.</t>
        </is>
      </c>
      <c r="E46" s="8" t="inlineStr">
        <is>
          <t>1 taken,1 late,1 missed,1 pending</t>
        </is>
      </c>
      <c r="F46" s="8" t="inlineStr">
        <is>
          <t>Có công thức và response biểu diễn tỷ lệ đúng giờ riêng đã được chủ sở hữu chốt.</t>
        </is>
      </c>
      <c r="G46" s="8" t="inlineStr"/>
      <c r="H46" s="7" t="inlineStr">
        <is>
          <t>Pending</t>
        </is>
      </c>
      <c r="I46" s="8" t="inlineStr">
        <is>
          <t>PB21 · AC8 · EP (2,3) · Pending: Contract /adherence đã khôi phục nhưng chưa biểu diễn tỷ lệ đúng giờ riêng; không suy ra công thức.</t>
        </is>
      </c>
    </row>
    <row r="47" ht="239" customHeight="1">
      <c r="A47" s="7" t="inlineStr">
        <is>
          <t>TC-FADH-39</t>
        </is>
      </c>
      <c r="B47" s="7" t="inlineStr">
        <is>
          <t>Xóa dữ liệu phiên khi đổi bệnh nhân</t>
        </is>
      </c>
      <c r="C47" s="8" t="inlineStr">
        <is>
          <t>Thiết bị Android test package riêng; production UI 3.24 đã có; family F đã mở lịch sử P bằng local API/DB.</t>
        </is>
      </c>
      <c r="D47" s="8" t="inlineStr">
        <is>
          <t>1. Mở app test và chọn P trong Người thân.
2. Mở lịch sử, xác nhận có liều.
3. Thực hiện đổi bệnh nhân.
4. Kiểm không hiển thị dữ liệu cũ, không lưu bền, response cũ không phục hồi dữ liệu.</t>
        </is>
      </c>
      <c r="E47" s="8" t="inlineStr">
        <is>
          <t>P có liều 08:00; Q không có dữ liệu của P; sự kiện=đổi bệnh nhân</t>
        </is>
      </c>
      <c r="F47" s="8" t="inlineStr">
        <is>
          <t>Dữ liệu sức khỏe cũ bị xóa khỏi RAM/UI; không có cache bền; không phục hồi bởi response đến muộn.</t>
        </is>
      </c>
      <c r="G47" s="8" t="inlineStr"/>
      <c r="H47" s="7" t="inlineStr">
        <is>
          <t>Pending</t>
        </is>
      </c>
      <c r="I47" s="8" t="inlineStr">
        <is>
          <t>PB21 · AC6 · Chuyển trạng thái (session) · manual · Pending: Android emulator-5580 đã chạy production route với local API/DB thật: linked Pass, revoke hai lần Pass, cross_patient Pass; chưa kiểm thao tác selector UI chính và cache bền. Lượt đầu revoke có handshake Fail chưa xác định nguyên nhân, giữ log đỏ. evidence/test-p7-android.log; evidence/test-p7-android-revoke-diagnostic.log; evidence/test-p7-android-final.log</t>
        </is>
      </c>
    </row>
    <row r="48" ht="189.5" customHeight="1">
      <c r="A48" s="7" t="inlineStr">
        <is>
          <t>TC-FADH-40</t>
        </is>
      </c>
      <c r="B48" s="7" t="inlineStr">
        <is>
          <t>Xóa dữ liệu phiên khi mất mạng</t>
        </is>
      </c>
      <c r="C48" s="8" t="inlineStr">
        <is>
          <t>Widget test production FamilyAdherenceScreen/DrugTimeApp; repository cấp fixture thuốc giả; đã kiểm Thuốc A hiện trước trigger. Không phải Android/API thật.</t>
        </is>
      </c>
      <c r="D48" s="8" t="inlineStr">
        <is>
          <t>1. Chạy family_adherence_screen_test.dart bằng flutter test.
2. Load lịch sử, kiểm Thuốc A đang hiện.
3. Emit false qua ConnectivityMonitor do app đăng ký; pump UI.
4. Kiểm không còn text Thuốc A, kể cả offstage.
5. Emit true để online lại; kiểm có request mới và chưa hiện dữ liệu cũ.
6. Hoàn tất request mới bằng denied; kiểm thông báo Không còn quyền xem lịch sử.</t>
        </is>
      </c>
      <c r="E48" s="8" t="inlineStr">
        <is>
          <t>Fixture thuốc giả Thuốc A; ngày VN hiện tại của route app.</t>
        </is>
      </c>
      <c r="F48" s="8" t="inlineStr">
        <is>
          <t>Sau mất mạng, dữ liệu sức khỏe cũ biến mất ngay khỏi UI, kể cả offstage.</t>
        </is>
      </c>
      <c r="G48" s="8" t="inlineStr">
        <is>
          <t>Pass trên frontend 46275fa: offline xóa toàn bộ Text Thuốc A kể cả offstage; online lại tạo GET mới, chưa hiển thị dữ liệu cũ; phản hồi denied hiện Không còn quyền xem lịch sử. Widget test, chưa xác minh lifecycle Android/API thật.</t>
        </is>
      </c>
      <c r="H48" s="7" t="inlineStr">
        <is>
          <t>Pass</t>
        </is>
      </c>
      <c r="I48" s="8" t="inlineStr">
        <is>
          <t>PB21 · AC6 · Chuyển trạng thái (session) · unit/widget · AC6 QD-29: offline removes health data · BUG-3.25-02 đã xác nhận fix ở widget; native OS Pending · evidence/test-bug02-family-mobile.jsonl</t>
        </is>
      </c>
    </row>
    <row r="49" ht="255.5" customHeight="1">
      <c r="A49" s="7" t="inlineStr">
        <is>
          <t>TC-FADH-41</t>
        </is>
      </c>
      <c r="B49" s="7" t="inlineStr">
        <is>
          <t>Xóa dữ liệu phiên khi đưa app vào nền</t>
        </is>
      </c>
      <c r="C49" s="8" t="inlineStr">
        <is>
          <t>Widget test production FamilyAdherenceScreen/DrugTimeApp; repository cấp fixture thuốc giả; đã kiểm Thuốc A hiện trước trigger. Không phải Android/API thật.</t>
        </is>
      </c>
      <c r="D49" s="8" t="inlineStr">
        <is>
          <t>1. Chạy family_adherence_screen_test.dart bằng flutter test.
2. Load lịch sử, kiểm Thuốc A đang hiện.
3. Phát inactive → hidden → paused rồi pump một frame.
4. Kiểm không còn text Thuốc A, kể cả offstage.
5. Resume để bắt đầu request mới, đưa app về paused và hoàn tất response cũ; kiểm không có Thuốc A.
6. Refresh trong paused; kiểm không phát sinh GET.
7. Resume lần nữa; kiểm có request mới, trả denied và kiểm thông báo Không còn quyền xem lịch sử.</t>
        </is>
      </c>
      <c r="E49" s="8" t="inlineStr">
        <is>
          <t>Fixture thuốc giả Thuốc A; screen clock 22/10/2026; lifecycle inactive/hidden/paused.</t>
        </is>
      </c>
      <c r="F49" s="8" t="inlineStr">
        <is>
          <t>Sau vào nền, dữ liệu sức khỏe cũ biến mất ngay khỏi UI, kể cả offstage.</t>
        </is>
      </c>
      <c r="G49" s="8" t="inlineStr">
        <is>
          <t>Pass trên frontend 46275fa: inactive/hidden/paused xóa toàn bộ Text Thuốc A kể cả offstage; response thành công tới muộn không khôi phục dữ liệu; refresh khi paused không gọi thêm GET; resumed gọi lại và denied không hiện dữ liệu cũ. Widget test, chưa xác minh lifecycle Android thật.</t>
        </is>
      </c>
      <c r="H49" s="7" t="inlineStr">
        <is>
          <t>Pass</t>
        </is>
      </c>
      <c r="I49" s="8" t="inlineStr">
        <is>
          <t>PB21 · AC6 · Chuyển trạng thái (session) · unit/widget · AC6 QD-29: background removes health data · BUG-3.25-02 đã xác nhận fix ở widget; native OS Pending · evidence/test-bug02-family-mobile.jsonl</t>
        </is>
      </c>
    </row>
    <row r="50" ht="222.5" customHeight="1">
      <c r="A50" s="7" t="inlineStr">
        <is>
          <t>TC-FADH-42</t>
        </is>
      </c>
      <c r="B50" s="7" t="inlineStr">
        <is>
          <t>Xóa dữ liệu phiên khi đăng xuất</t>
        </is>
      </c>
      <c r="C50" s="8" t="inlineStr">
        <is>
          <t>Thiết bị Android test package riêng; production UI 3.24 đã có; family F đã mở lịch sử P bằng local API/DB.</t>
        </is>
      </c>
      <c r="D50" s="8" t="inlineStr">
        <is>
          <t>1. Mở app test và chọn P trong Người thân.
2. Mở lịch sử, xác nhận có liều.
3. Thực hiện đăng xuất.
4. Kiểm không hiển thị dữ liệu cũ, không lưu bền, response cũ không phục hồi dữ liệu.</t>
        </is>
      </c>
      <c r="E50" s="8" t="inlineStr">
        <is>
          <t>P có liều 08:00; Q không có dữ liệu của P; sự kiện=đăng xuất</t>
        </is>
      </c>
      <c r="F50" s="8" t="inlineStr">
        <is>
          <t>Dữ liệu sức khỏe cũ bị xóa khỏi RAM/UI; không có cache bền; không phục hồi bởi response đến muộn.</t>
        </is>
      </c>
      <c r="G50" s="8" t="inlineStr"/>
      <c r="H50" s="7" t="inlineStr">
        <is>
          <t>Pending</t>
        </is>
      </c>
      <c r="I50" s="8" t="inlineStr">
        <is>
          <t>PB21 · AC6 · Chuyển trạng thái (session) · manual · Pending: Android emulator-5580 đã chạy production route với local API/DB thật: linked Pass, revoke hai lần Pass, cross_patient Pass; chưa kiểm logout trên Android. Lượt đầu revoke có handshake Fail chưa xác định nguyên nhân, giữ log đỏ. evidence/test-p7-android.log; evidence/test-p7-android-revoke-diagnostic.log; evidence/test-p7-android-final.log</t>
        </is>
      </c>
    </row>
    <row r="51" ht="255.5" customHeight="1">
      <c r="A51" s="7" t="inlineStr">
        <is>
          <t>TC-FADH-43</t>
        </is>
      </c>
      <c r="B51" s="7" t="inlineStr">
        <is>
          <t>Xóa dữ liệu phiên khi nhận 403</t>
        </is>
      </c>
      <c r="C51" s="8" t="inlineStr">
        <is>
          <t>Thiết bị Android test package riêng; production UI 3.24 đã có; family F đã mở lịch sử P bằng local API/DB.</t>
        </is>
      </c>
      <c r="D51" s="8" t="inlineStr">
        <is>
          <t>1. Mở app test và chọn P trong Người thân.
2. Mở lịch sử, xác nhận có liều.
3. Thực hiện nhận 403.
4. Kiểm không hiển thị dữ liệu cũ, không lưu bền, response cũ không phục hồi dữ liệu.</t>
        </is>
      </c>
      <c r="E51" s="8" t="inlineStr">
        <is>
          <t>P có liều 08:00; Q không có dữ liệu của P; sự kiện=nhận 403</t>
        </is>
      </c>
      <c r="F51" s="8" t="inlineStr">
        <is>
          <t>Dữ liệu sức khỏe cũ bị xóa khỏi RAM/UI; không có cache bền; không phục hồi bởi response đến muộn.</t>
        </is>
      </c>
      <c r="G51" s="8" t="inlineStr"/>
      <c r="H51" s="7" t="inlineStr">
        <is>
          <t>Pending</t>
        </is>
      </c>
      <c r="I51" s="8" t="inlineStr">
        <is>
          <t>PB21 · AC6 · Chuyển trạng thái (session) · manual · Pending: Android emulator-5580 đã chạy production route với local API/DB thật: linked Pass, revoke hai lần Pass, cross_patient Pass; đã kiểm 403 trên route; chưa kiểm toàn bộ cache bền/response tới muộn trên thiết bị. Lượt đầu revoke có handshake Fail chưa xác định nguyên nhân, giữ log đỏ. evidence/test-p7-android.log; evidence/test-p7-android-revoke-diagnostic.log; evidence/test-p7-android-final.log</t>
        </is>
      </c>
    </row>
    <row r="52" ht="255.5" customHeight="1">
      <c r="A52" s="7" t="inlineStr">
        <is>
          <t>TC-FADH-44</t>
        </is>
      </c>
      <c r="B52" s="7" t="inlineStr">
        <is>
          <t>Chỉ xem lịch sử trên Mobile và chạy E2E thu hồi</t>
        </is>
      </c>
      <c r="C52" s="8" t="inlineStr">
        <is>
          <t>UI 3.24 và Android test package riêng cùng local API/DB.</t>
        </is>
      </c>
      <c r="D52" s="8" t="inlineStr">
        <is>
          <t>1. Chọn P; mở lịch sử; tìm thao tác sửa lịch/xác nhận hộ.
2. Bệnh nhân thu hồi quyền; refresh lịch sử bằng cùng phiên.
3. Đổi sang Q và kiểm không còn dữ liệu P.</t>
        </is>
      </c>
      <c r="E52" s="8" t="inlineStr">
        <is>
          <t>Family F; linked P; unlinked Q</t>
        </is>
      </c>
      <c r="F52" s="8" t="inlineStr">
        <is>
          <t>Không có thao tác ghi hộ; request sau thu hồi 403, không còn dữ liệu cũ; DB có denied.</t>
        </is>
      </c>
      <c r="G52" s="8" t="inlineStr"/>
      <c r="H52" s="7" t="inlineStr">
        <is>
          <t>Pending</t>
        </is>
      </c>
      <c r="I52" s="8" t="inlineStr">
        <is>
          <t>PB21 · AC1,AC4,AC5,AC6 · manual/E2E · Pending: Android emulator-5580 đã chạy production route với local API/DB thật: linked Pass, revoke hai lần Pass, cross_patient Pass; đã kiểm route read-only/revoke/cross-patient; chưa kiểm chọn patient từ UI chính. Lượt đầu revoke có handshake Fail chưa xác định nguyên nhân, giữ log đỏ. evidence/test-p7-android.log; evidence/test-p7-android-revoke-diagnostic.log; evidence/test-p7-android-final.log</t>
        </is>
      </c>
    </row>
    <row r="53" ht="206" customHeight="1">
      <c r="A53" s="7" t="inlineStr">
        <is>
          <t>TC-FADH-45</t>
        </is>
      </c>
      <c r="B53" s="7" t="inlineStr">
        <is>
          <t>Truy vết PB21 và gộp test case tổng</t>
        </is>
      </c>
      <c r="C53" s="8" t="inlineStr">
        <is>
          <t>Báo cáo test và workbook đã được dựng bằng script chuẩn.</t>
        </is>
      </c>
      <c r="D53" s="8" t="inlineStr">
        <is>
          <t>1. Đối chiếu AC1–AC9 với test, XML và log.
2. Chạy testcase_xlsx.py validate/build/merge 3.25.
3. So sheet cũ và đếm trạng thái/Bug Report; đọc báo cáo để phân biệt lỗi với Pending.</t>
        </is>
      </c>
      <c r="E53" s="8" t="inlineStr">
        <is>
          <t>PB21; code FADH; task 3.25</t>
        </is>
      </c>
      <c r="F53" s="8" t="inlineStr">
        <is>
          <t>Mỗi AC có ca; một sheet FADH; các sheet chức năng cũ giữ nguyên; Fail có bug, Pending không được báo Pass.</t>
        </is>
      </c>
      <c r="G53" s="8" t="inlineStr">
        <is>
          <t>Đối chiếu evidence P7: history integration 66 Pass/2 Fail; 19 host-runner unit Pass; ba scenario host HTTP/PEP/DB đạt; Android linked Pass, revoke hai lần Pass và cross_patient Pass. Lượt đầu revoke handshake Fail chưa rõ nguyên nhân được giữ riêng. Giữ 53 ID với 46 Pass/1 Fail/6 Pending; dựng/gộp bằng script chuẩn, 20 sheet khác giữ nguyên. Không nghiệm thu toàn PB21/OS/selector/AC8. evidence/test-p7-final-verify.log; evidence/test-p7-android-final.log.</t>
        </is>
      </c>
      <c r="H53" s="7" t="inlineStr">
        <is>
          <t>Pass</t>
        </is>
      </c>
      <c r="I53" s="8" t="inlineStr">
        <is>
          <t>PB21 · AC9 · manual (đối chiếu artifact) · evidence/test-contract-workbook-verify.log · evidence/test-contract-testcase-xlsx.log · Lượt P7 evidence/test-p7-final-verify.log</t>
        </is>
      </c>
    </row>
    <row r="54" ht="189.5" customHeight="1">
      <c r="A54" s="7" t="inlineStr">
        <is>
          <t>TC-FADH-46</t>
        </is>
      </c>
      <c r="B54" s="7" t="inlineStr">
        <is>
          <t>Gọi lại GET với patient và bearer hiện tại sau từ chối; không trả cache khi lỗi mạng</t>
        </is>
      </c>
      <c r="C54" s="8" t="inlineStr">
        <is>
          <t>Production repository/controller/widget ở frontend b24ee68; unit/widget dùng mock HTTP/repository và fixture thuốc giả, không chứng minh DB/Android.</t>
        </is>
      </c>
      <c r="D54" s="8" t="inlineStr">
        <is>
          <t>1. Chạy flutter test --no-pub --reporter json; lọc file family_adherence_* tại test/features/family.
2. Mock HTTP: GET thành công, GET 403 rồi GET lại với bearer mới; nhánh khác thành công rồi ném ClientException.
3. Đối chiếu assertion và testDone của đúng test, không tính file adherence cùng tên.</t>
        </is>
      </c>
      <c r="E54" s="8" t="inlineStr">
        <is>
          <t>Mock HTTP: GET thành công, GET 403 rồi GET lại với bearer mới; nhánh khác thành công rồi ném ClientException.</t>
        </is>
      </c>
      <c r="F54" s="8" t="inlineStr">
        <is>
          <t>Mỗi lần fetch gửi GET mới với patient_id/date/group_by và bearer hiện tại; 403/network truyền failure, không trả lịch sử cũ.</t>
        </is>
      </c>
      <c r="G54" s="8" t="inlineStr">
        <is>
          <t>2 test Pass trong phiên 25/10/2026; AC4: refetches the selected patient and current bearer after a denial; AC6: a network failure after success never returns cached history. evidence/test-contract-mobile.jsonl. Đã chạy lại nhóm 16 test trong lượt cập nhật contract: 14 Pass/2 Fail; evidence/test-contract-mobile.jsonl. Retest frontend 46275fa: nhóm family history 17 Pass/0 Fail/0 Skip; evidence/test-bug02-family-mobile.jsonl.</t>
        </is>
      </c>
      <c r="H54" s="7" t="inlineStr">
        <is>
          <t>Pass</t>
        </is>
      </c>
      <c r="I54" s="8" t="inlineStr">
        <is>
          <t>PB21 · AC4,AC6 · Đoán lỗi/Chuyển trạng thái · unit/widget · evidence/test-contract-mobile.jsonl · Retest evidence/test-bug02-family-mobile.jsonl</t>
        </is>
      </c>
    </row>
    <row r="55" ht="189.5" customHeight="1">
      <c r="A55" s="7" t="inlineStr">
        <is>
          <t>TC-FADH-47</t>
        </is>
      </c>
      <c r="B55" s="7" t="inlineStr">
        <is>
          <t>Từ chối response thuộc patient khác ở repository và controller</t>
        </is>
      </c>
      <c r="C55" s="8" t="inlineStr">
        <is>
          <t>Production repository/controller/widget ở frontend b24ee68; unit/widget dùng mock HTTP/repository và fixture thuốc giả, không chứng minh DB/Android.</t>
        </is>
      </c>
      <c r="D55" s="8" t="inlineStr">
        <is>
          <t>1. Chạy flutter test --no-pub --reporter json; lọc file family_adherence_* tại test/features/family.
2. Request Q nhưng HTTP/reader cấp response P; UUID P và Q khác nhau.
3. Đối chiếu assertion và testDone của đúng test, không tính file adherence cùng tên.</t>
        </is>
      </c>
      <c r="E55" s="8" t="inlineStr">
        <is>
          <t>Request Q nhưng HTTP/reader cấp response P; UUID P và Q khác nhau.</t>
        </is>
      </c>
      <c r="F55" s="8" t="inlineStr">
        <is>
          <t>Repository ném invalidResponse; controller không giữ history P.</t>
        </is>
      </c>
      <c r="G55" s="8" t="inlineStr">
        <is>
          <t>2 test Pass trong phiên 25/10/2026; AC4: a response for P cannot satisfy a request for Q; AC4: the controller also rejects a mismatched patient from its reader. evidence/test-contract-mobile.jsonl. Đã chạy lại nhóm 16 test trong lượt cập nhật contract: 14 Pass/2 Fail; evidence/test-contract-mobile.jsonl. Retest frontend 46275fa: nhóm family history 17 Pass/0 Fail/0 Skip; evidence/test-bug02-family-mobile.jsonl.</t>
        </is>
      </c>
      <c r="H55" s="7" t="inlineStr">
        <is>
          <t>Pass</t>
        </is>
      </c>
      <c r="I55" s="8" t="inlineStr">
        <is>
          <t>PB21 · AC4,AC6 · Đoán lỗi/Chuyển trạng thái · unit/widget · evidence/test-contract-mobile.jsonl · Retest evidence/test-bug02-family-mobile.jsonl</t>
        </is>
      </c>
    </row>
    <row r="56" ht="305" customHeight="1">
      <c r="A56" s="7" t="inlineStr">
        <is>
          <t>TC-FADH-48</t>
        </is>
      </c>
      <c r="B56" s="7" t="inlineStr">
        <is>
          <t>Hủy response cũ khi refresh, đổi patient hoặc clear controller</t>
        </is>
      </c>
      <c r="C56" s="8" t="inlineStr">
        <is>
          <t>Production repository/controller/widget ở frontend b24ee68; unit/widget dùng mock HTTP/repository và fixture thuốc giả, không chứng minh DB/Android.</t>
        </is>
      </c>
      <c r="D56" s="8" t="inlineStr">
        <is>
          <t>1. Chạy flutter test --no-pub --reporter json; lọc file family_adherence_* tại test/features/family.
2. Completer điều khiển thứ tự: load P; hai refresh cạnh tranh hoặc đổi sang Q hoặc clear; hoàn tất response cũ sau failure/response mới.
3. Đối chiếu assertion và testDone của đúng test, không tính file adherence cùng tên.</t>
        </is>
      </c>
      <c r="E56" s="8" t="inlineStr">
        <is>
          <t>Completer điều khiển thứ tự: load P; hai refresh cạnh tranh hoặc đổi sang Q hoặc clear; hoàn tất response cũ sau failure/response mới.</t>
        </is>
      </c>
      <c r="F56" s="8" t="inlineStr">
        <is>
          <t>history bị clear ngay; denied/network/unauthorized đúng failure; response cũ không phục hồi dữ liệu; clear không tự fetch.</t>
        </is>
      </c>
      <c r="G56" s="8" t="inlineStr">
        <is>
          <t>5 test Pass trong phiên 25/10/2026; AC6: refresh clears RAM before AdherenceFailureKind.denied and accepts no stale success; AC6: refresh clears RAM before AdherenceFailureKind.network and accepts no stale success; AC6: refresh clears RAM before AdherenceFailureKind.unauthorized and accepts no stale success; AC6: switching patient clears visible history and rejects the old result; AC6: clear invalidates an in-flight read without an automatic refetch. evidence/test-contract-mobile.jsonl. Đã chạy lại nhóm 16 test trong lượt cập nhật contract: 14 Pass/2 Fail; evidence/test-contract-mobile.jsonl. Retest frontend 46275fa: nhóm family history 17 Pass/0 Fail/0 Skip; evidence/test-bug02-family-mobile.jsonl.</t>
        </is>
      </c>
      <c r="H56" s="7" t="inlineStr">
        <is>
          <t>Pass</t>
        </is>
      </c>
      <c r="I56" s="8" t="inlineStr">
        <is>
          <t>PB21 · AC6 · Đoán lỗi/Chuyển trạng thái · unit/widget · evidence/test-contract-mobile.jsonl · Retest evidence/test-bug02-family-mobile.jsonl</t>
        </is>
      </c>
    </row>
    <row r="57" ht="222.5" customHeight="1">
      <c r="A57" s="7" t="inlineStr">
        <is>
          <t>TC-FADH-49</t>
        </is>
      </c>
      <c r="B57" s="7" t="inlineStr">
        <is>
          <t>Xóa dữ liệu widget khi đổi patient hoặc refresh gặp 403/network</t>
        </is>
      </c>
      <c r="C57" s="8" t="inlineStr">
        <is>
          <t>Production repository/controller/widget ở frontend b24ee68; unit/widget dùng mock HTTP/repository và fixture thuốc giả, không chứng minh DB/Android.</t>
        </is>
      </c>
      <c r="D57" s="8" t="inlineStr">
        <is>
          <t>1. Chạy flutter test --no-pub --reporter json; lọc file family_adherence_* tại test/features/family.
2. Widget production đã load Thuốc A; đổi patientId sang Q hoặc refresh rồi trả denied/network.
3. Đối chiếu assertion và testDone của đúng test, không tính file adherence cùng tên.</t>
        </is>
      </c>
      <c r="E57" s="8" t="inlineStr">
        <is>
          <t>Widget production đã load Thuốc A; đổi patientId sang Q hoặc refresh rồi trả denied/network.</t>
        </is>
      </c>
      <c r="F57" s="8" t="inlineStr">
        <is>
          <t>Không còn Thuốc A trước khi Q hoàn tất hoặc ngay khi refresh; hiện thông báo lỗi tương ứng, không giữ dữ liệu P.</t>
        </is>
      </c>
      <c r="G57" s="8" t="inlineStr">
        <is>
          <t>3 test Pass trong phiên 25/10/2026; AC6: changing to Q removes P before the Q read completes; AC6: refresh AdherenceFailureKind.denied clears the previously displayed patient; AC6: refresh AdherenceFailureKind.network clears the previously displayed patient. evidence/test-contract-mobile.jsonl. Đã chạy lại nhóm 16 test trong lượt cập nhật contract: 14 Pass/2 Fail; evidence/test-contract-mobile.jsonl. Retest frontend 46275fa: nhóm family history 17 Pass/0 Fail/0 Skip; evidence/test-bug02-family-mobile.jsonl.</t>
        </is>
      </c>
      <c r="H57" s="7" t="inlineStr">
        <is>
          <t>Pass</t>
        </is>
      </c>
      <c r="I57" s="8" t="inlineStr">
        <is>
          <t>PB21 · AC6 · Đoán lỗi/Chuyển trạng thái · unit/widget · evidence/test-contract-mobile.jsonl · Retest evidence/test-bug02-family-mobile.jsonl</t>
        </is>
      </c>
    </row>
    <row r="58" ht="156.5" customHeight="1">
      <c r="A58" s="7" t="inlineStr">
        <is>
          <t>TC-FADH-50</t>
        </is>
      </c>
      <c r="B58" s="7" t="inlineStr">
        <is>
          <t>Xóa dữ liệu route người thân khi đăng xuất khỏi app</t>
        </is>
      </c>
      <c r="C58" s="8" t="inlineStr">
        <is>
          <t>Production repository/controller/widget ở frontend b24ee68; unit/widget dùng mock HTTP/repository và fixture thuốc giả, không chứng minh DB/Android.</t>
        </is>
      </c>
      <c r="D58" s="8" t="inlineStr">
        <is>
          <t>1. Chạy flutter test --no-pub --reporter json; lọc file family_adherence_* tại test/features/family.
2. DrugTimeApp có session family giả, mở named route lịch sử và load fixture hôm nay; gọi auth.signOut() rồi pump UI.
3. Đối chiếu assertion và testDone của đúng test, không tính file adherence cùng tên.</t>
        </is>
      </c>
      <c r="E58" s="8" t="inlineStr">
        <is>
          <t>DrugTimeApp có session family giả, mở named route lịch sử và load fixture hôm nay; gọi auth.signOut() rồi pump UI.</t>
        </is>
      </c>
      <c r="F58" s="8" t="inlineStr">
        <is>
          <t>Không còn Thuốc A, kể cả offstage, sau logout trong widget test.</t>
        </is>
      </c>
      <c r="G58" s="8" t="inlineStr">
        <is>
          <t>1 test Pass trong phiên 25/10/2026; AC6 QD-29: logout removes health data from the actual app. evidence/test-contract-mobile.jsonl. Đã chạy lại nhóm 16 test trong lượt cập nhật contract: 14 Pass/2 Fail; evidence/test-contract-mobile.jsonl. Retest frontend 46275fa: nhóm family history 17 Pass/0 Fail/0 Skip; evidence/test-bug02-family-mobile.jsonl.</t>
        </is>
      </c>
      <c r="H58" s="7" t="inlineStr">
        <is>
          <t>Pass</t>
        </is>
      </c>
      <c r="I58" s="8" t="inlineStr">
        <is>
          <t>PB21 · AC6 · Đoán lỗi/Chuyển trạng thái · unit/widget · evidence/test-contract-mobile.jsonl · Retest evidence/test-bug02-family-mobile.jsonl</t>
        </is>
      </c>
    </row>
    <row r="59" ht="156.5" customHeight="1">
      <c r="A59" s="7" t="inlineStr">
        <is>
          <t>TC-FADH-51</t>
        </is>
      </c>
      <c r="B59" s="7" t="inlineStr">
        <is>
          <t>Hiển thị lịch sử người thân chỉ đọc</t>
        </is>
      </c>
      <c r="C59" s="8" t="inlineStr">
        <is>
          <t>Production repository/controller/widget ở frontend b24ee68; unit/widget dùng mock HTTP/repository và fixture thuốc giả, không chứng minh DB/Android.</t>
        </is>
      </c>
      <c r="D59" s="8" t="inlineStr">
        <is>
          <t>1. Chạy flutter test --no-pub --reporter json; lọc file family_adherence_* tại test/features/family.
2. Mở FamilyAdherenceScreen với fixture history; không gọi backend thật.
3. Đối chiếu assertion và testDone của đúng test, không tính file adherence cùng tên.</t>
        </is>
      </c>
      <c r="E59" s="8" t="inlineStr">
        <is>
          <t>Mở FamilyAdherenceScreen với fixture history; không gọi backend thật.</t>
        </is>
      </c>
      <c r="F59" s="8" t="inlineStr">
        <is>
          <t>Hiện dữ liệu và 66.67%; không có nút Xác nhận/Sửa hoặc TextField.</t>
        </is>
      </c>
      <c r="G59" s="8" t="inlineStr">
        <is>
          <t>1 test Pass trong phiên 25/10/2026; AC6: the family view has data and no dose or schedule writes. evidence/test-contract-mobile.jsonl. Đã chạy lại nhóm 16 test trong lượt cập nhật contract: 14 Pass/2 Fail; evidence/test-contract-mobile.jsonl. Retest frontend 46275fa: nhóm family history 17 Pass/0 Fail/0 Skip; evidence/test-bug02-family-mobile.jsonl.</t>
        </is>
      </c>
      <c r="H59" s="7" t="inlineStr">
        <is>
          <t>Pass</t>
        </is>
      </c>
      <c r="I59" s="8" t="inlineStr">
        <is>
          <t>PB21 · AC6 · Đoán lỗi/Chuyển trạng thái · unit/widget · evidence/test-contract-mobile.jsonl · Retest evidence/test-bug02-family-mobile.jsonl</t>
        </is>
      </c>
    </row>
    <row r="60" ht="123.5" customHeight="1">
      <c r="A60" s="7" t="inlineStr">
        <is>
          <t>TC-FADH-52</t>
        </is>
      </c>
      <c r="B60" s="7" t="inlineStr">
        <is>
          <t>Tính ngay liều xác nhận và chuyển pending sau +120 qua family API</t>
        </is>
      </c>
      <c r="C60" s="8" t="inlineStr">
        <is>
          <t>Supabase local; history_data; P có hai lịch 08:00; F linked active/sharing và đủ consent.</t>
        </is>
      </c>
      <c r="D60" s="8" t="inlineStr">
        <is>
          <t>1. P xác nhận lịch thứ nhất lúc 08:10, lịch thứ hai chưa xác nhận.
2. F GET /adherence cho P tại 08:10 và đúng 10:00, với cả group_by=date/medication.
3. Dời đồng hồ tới 10:00:00.000001, GET lại với cùng bearer; đối chiếu audit và dose_logs.</t>
        </is>
      </c>
      <c r="E60" s="8" t="inlineStr">
        <is>
          <t>scheduled=2026-10-19 08:00 +07; taken=08:10; as_of=08:10/10:00/10:00+1µs.</t>
        </is>
      </c>
      <c r="F60" s="8" t="inlineStr">
        <is>
          <t>Hai lần đầu total=2/taken=1/pending=1/counted=1/rate=100; sau +120 total=2/taken=1/missed=1/counted=2/rate=50. Mỗi GET có family allowed; không ghi dose_log.</t>
        </is>
      </c>
      <c r="G60" s="8" t="inlineStr">
        <is>
          <t>Hai ca date/medication Pass qua API/DB thật, có assertion summary/audit/dose_logs. Lượt P7 chạy lại toàn backend integration: nhóm history API/PEP 66 Pass/2 Fail, TC20 vẫn Fail ở hai grouping; các ca khác trong nhóm này giữ kết quả. evidence/test-p7-integration.log/xml.</t>
        </is>
      </c>
      <c r="H60" s="7" t="inlineStr">
        <is>
          <t>Pass</t>
        </is>
      </c>
      <c r="I60" s="8" t="inlineStr">
        <is>
          <t>PB21 · AC1,AC2,AC3 · BVA (max,max+1)/Chuyển trạng thái · test_family_history_rate_transitions__AC1_AC2_AC3 · evidence/test-contract-history-final.log/xml · Retest evidence/test-p7-integration.log/xml</t>
        </is>
      </c>
    </row>
    <row r="61" ht="173" customHeight="1">
      <c r="A61" s="7" t="inlineStr">
        <is>
          <t>TC-FADH-53</t>
        </is>
      </c>
      <c r="B61" s="7" t="inlineStr">
        <is>
          <t>Chạy collection Postman và thu hồi quyền ngay request kế tiếp</t>
        </is>
      </c>
      <c r="C61" s="8" t="inlineStr">
        <is>
          <t>FastAPI loopback chạy bằng api_role; Supabase local; dữ liệu test P/F/Q và app session mobile runtime, không ghi token vào Git.</t>
        </is>
      </c>
      <c r="D61" s="8" t="inlineStr">
        <is>
          <t>1. Chạy sáu request trong collection DrugTime-Adherence bằng environment runtime: date/medication, thiếu bearer, Q không liên kết, group sai, quá 90 ngày.
2. Với từng fixture mới, F GET P 200; commit thu hồi health_data/family_sharing/sharing/unlink.
3. Giữ nguyên bearer và GET P bằng request Chặn truy cập không có quyền; kiểm 403, audit allowed→denied và dose_logs không đổi.</t>
        </is>
      </c>
      <c r="E61" s="8" t="inlineStr">
        <is>
          <t>from=to=2026-10-19; fixture thuốc giả; 6 request đầu + 4 cặp before/after = 14 request.</t>
        </is>
      </c>
      <c r="F61" s="8" t="inlineStr">
        <is>
          <t>14 request đúng status; 75 assertion Pass; 4 request ngay sau thu hồi 403 khong_co_quyen cùng bearer; audit DB đúng actor/scope; dose_logs không đổi.</t>
        </is>
      </c>
      <c r="G61" s="8" t="inlineStr">
        <is>
          <t>9 lượt collection CLI exit 0: tổng 14 request/75 assertion Pass; kiểm DB ở 5 kịch bản Pass; report-events tắt, file bearer tạm đã xóa.</t>
        </is>
      </c>
      <c r="H61" s="7" t="inlineStr">
        <is>
          <t>Pass</t>
        </is>
      </c>
      <c r="I61" s="8" t="inlineStr">
        <is>
          <t>PB21 · AC1,AC4,AC5,AC9 · Decision Table (R1–R5)/Chuyển trạng thái · evidence/test-postman-live.log · evidence/test-postman-live-summary.json</t>
        </is>
      </c>
    </row>
    <row r="62"/>
    <row r="63"/>
    <row r="64">
      <c r="G64" s="12" t="inlineStr">
        <is>
          <t>Pass</t>
        </is>
      </c>
      <c r="H64" s="13">
        <f>COUNTIF(H9:H61,"Pass")</f>
        <v/>
      </c>
    </row>
    <row r="65">
      <c r="G65" s="12" t="inlineStr">
        <is>
          <t>Fail</t>
        </is>
      </c>
      <c r="H65" s="13">
        <f>COUNTIF(H9:H61,"Fail")</f>
        <v/>
      </c>
    </row>
    <row r="66">
      <c r="G66" s="12" t="inlineStr">
        <is>
          <t>Pending</t>
        </is>
      </c>
      <c r="H66" s="13">
        <f>COUNTIF(H9:H61,"Pending")</f>
        <v/>
      </c>
    </row>
    <row r="67">
      <c r="G67" s="12" t="inlineStr">
        <is>
          <t>Total</t>
        </is>
      </c>
      <c r="H67" s="13">
        <f>SUM(H64:H66)</f>
        <v/>
      </c>
    </row>
  </sheetData>
  <autoFilter ref="A8:I61"/>
  <conditionalFormatting sqref="H9:H61">
    <cfRule type="cellIs" priority="1" operator="equal" dxfId="0">
      <formula>"Fail"</formula>
    </cfRule>
  </conditionalFormatting>
  <dataValidations count="1">
    <dataValidation sqref="H9:H61" showDropDown="0" showInputMessage="0" showErrorMessage="0" allowBlank="0" type="list">
      <formula1>"Pass,Fail,Pending"</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63"/>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 width="8" customWidth="1" min="23" max="23"/>
  </cols>
  <sheetData>
    <row r="1">
      <c r="A1" s="1" t="inlineStr">
        <is>
          <t>Project Name</t>
        </is>
      </c>
      <c r="B1" s="2" t="inlineStr">
        <is>
          <t>DrugTime</t>
        </is>
      </c>
    </row>
    <row r="2">
      <c r="A2" s="1" t="inlineStr">
        <is>
          <t>Module Name</t>
        </is>
      </c>
      <c r="B2" s="2" t="inlineStr">
        <is>
          <t>Phát hiện liều bỏ lỡ có xác minh (MISSVERIFY)</t>
        </is>
      </c>
    </row>
    <row r="3">
      <c r="A3" s="1" t="inlineStr">
        <is>
          <t>Created By</t>
        </is>
      </c>
      <c r="B3" s="2" t="inlineStr">
        <is>
          <t>zannguyen</t>
        </is>
      </c>
    </row>
    <row r="4">
      <c r="A4" s="1" t="inlineStr">
        <is>
          <t>Creation Date</t>
        </is>
      </c>
      <c r="B4" s="21" t="n">
        <v>46322</v>
      </c>
    </row>
    <row r="5">
      <c r="A5" s="1" t="inlineStr">
        <is>
          <t>Reviewed By</t>
        </is>
      </c>
      <c r="B5" s="2" t="inlineStr"/>
    </row>
    <row r="6">
      <c r="A6" s="1" t="inlineStr">
        <is>
          <t>Reviewed Date</t>
        </is>
      </c>
      <c r="B6" s="2" t="n"/>
    </row>
    <row r="7">
      <c r="K7" s="4" t="inlineStr">
        <is>
          <t>Equivalence Partitioning</t>
        </is>
      </c>
      <c r="Q7" s="4" t="inlineStr">
        <is>
          <t>Người thân nhận cảnh báo liều đã xác minh bỏ lỡ</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c r="W8" s="5" t="inlineStr">
        <is>
          <t>R6</t>
        </is>
      </c>
    </row>
    <row r="9" ht="90.5" customHeight="1">
      <c r="A9" s="7" t="inlineStr">
        <is>
          <t>TC-MISSVERIFY-01</t>
        </is>
      </c>
      <c r="B9" s="7" t="inlineStr">
        <is>
          <t>Ghi bo_lo và báo người thân khi patient đã đồng bộ sau hạn chót</t>
        </is>
      </c>
      <c r="C9" s="8" t="inlineStr">
        <is>
          <t>P có lịch 08:00 VN mọi ngày; F liên kết active, bật chia sẻ, P có consent family_sharing; F có token Android</t>
        </is>
      </c>
      <c r="D9" s="8" t="inlineStr">
        <is>
          <t>1. Đặt checkpoint của P = D + 5' (D = 10:00 VN)
2. Chạy một lượt quét Worker tại D + 6'
3. Kiểm dose_logs, notifications của F, push gửi đi, access_logs của P</t>
        </is>
      </c>
      <c r="E9" s="8" t="inlineStr">
        <is>
          <t>L = 2026-10-19 08:00 VN; cp = 10:05; now = 10:06</t>
        </is>
      </c>
      <c r="F9" s="8" t="inlineStr">
        <is>
          <t>Một dòng dose_logs bo_lo, taken_at NULL; một notifications cho F có medication_name, scheduled_at = L; một push tới token F; không có hàng chờ, không gõ cửa; access_logs của P không đổi</t>
        </is>
      </c>
      <c r="G9" s="8" t="inlineStr">
        <is>
          <t>Đúng như mong đợi</t>
        </is>
      </c>
      <c r="H9" s="7" t="inlineStr">
        <is>
          <t>Pass</t>
        </is>
      </c>
      <c r="I9" s="8" t="inlineStr">
        <is>
          <t>AC17 · EP (1,2,3) · Decision Table (R1) · test_verified_missed_creates_one_log_notification_push__AC17</t>
        </is>
      </c>
      <c r="K9" s="9" t="inlineStr">
        <is>
          <t>Checkpoint cp so với hạn chót D</t>
        </is>
      </c>
      <c r="L9" s="10" t="inlineStr">
        <is>
          <t>cp ≥ D (gồm cp = D)</t>
        </is>
      </c>
      <c r="M9" s="10" t="inlineStr">
        <is>
          <t>1</t>
        </is>
      </c>
      <c r="N9" s="10" t="inlineStr">
        <is>
          <t>cp &lt; D (gồm D − 1 µs, D − 1 s)
chưa có checkpoint</t>
        </is>
      </c>
      <c r="O9" s="10" t="inlineStr">
        <is>
          <t>4
5</t>
        </is>
      </c>
      <c r="Q9" s="10" t="inlineStr">
        <is>
          <t>Liên kết</t>
        </is>
      </c>
      <c r="R9" s="11" t="inlineStr">
        <is>
          <t>active</t>
        </is>
      </c>
      <c r="S9" s="11" t="inlineStr">
        <is>
          <t>active</t>
        </is>
      </c>
      <c r="T9" s="11" t="inlineStr">
        <is>
          <t>active</t>
        </is>
      </c>
      <c r="U9" s="11" t="inlineStr">
        <is>
          <t>pending</t>
        </is>
      </c>
      <c r="V9" s="11" t="inlineStr">
        <is>
          <t>revoked</t>
        </is>
      </c>
      <c r="W9" s="11" t="inlineStr">
        <is>
          <t>không có</t>
        </is>
      </c>
    </row>
    <row r="10" ht="74" customHeight="1">
      <c r="A10" s="7" t="inlineStr">
        <is>
          <t>TC-MISSVERIFY-02</t>
        </is>
      </c>
      <c r="B10" s="7" t="inlineStr">
        <is>
          <t>Không ghi gì khi patient chưa từng đồng bộ</t>
        </is>
      </c>
      <c r="C10" s="8" t="inlineStr">
        <is>
          <t>Như TC-01, P chưa có checkpoint</t>
        </is>
      </c>
      <c r="D10" s="8" t="inlineStr">
        <is>
          <t>1. Chạy lượt quét tại D + 1'
2. Kiểm dose_logs, notifications, hàng chờ, push</t>
        </is>
      </c>
      <c r="E10" s="8" t="inlineStr">
        <is>
          <t>cp = (không có); now = 10:01</t>
        </is>
      </c>
      <c r="F10" s="8" t="inlineStr">
        <is>
          <t>Không có dose_logs, notifications hay push cho F; liều vào missed_dose_pending_verifications; một push sync_request tới token Android của P</t>
        </is>
      </c>
      <c r="G10" s="8" t="inlineStr">
        <is>
          <t>Đúng như mong đợi</t>
        </is>
      </c>
      <c r="H10" s="7" t="inlineStr">
        <is>
          <t>Pass</t>
        </is>
      </c>
      <c r="I10" s="8" t="inlineStr">
        <is>
          <t>AC18 · AC37 · EP (5) · test_checkpoint_before_deadline_no_effect__AC18[None]</t>
        </is>
      </c>
      <c r="K10" s="9" t="inlineStr">
        <is>
          <t>Thời điểm quét now so với D</t>
        </is>
      </c>
      <c r="L10" s="10" t="inlineStr">
        <is>
          <t>now &gt; D</t>
        </is>
      </c>
      <c r="M10" s="10" t="inlineStr">
        <is>
          <t>2</t>
        </is>
      </c>
      <c r="N10" s="10" t="inlineStr">
        <is>
          <t>now = D</t>
        </is>
      </c>
      <c r="O10" s="10" t="inlineStr">
        <is>
          <t>6</t>
        </is>
      </c>
      <c r="Q10" s="10" t="inlineStr">
        <is>
          <t>Chia sẻ bật?</t>
        </is>
      </c>
      <c r="R10" s="11" t="inlineStr">
        <is>
          <t>Yes</t>
        </is>
      </c>
      <c r="S10" s="11" t="inlineStr">
        <is>
          <t>No</t>
        </is>
      </c>
      <c r="T10" s="11" t="inlineStr">
        <is>
          <t>Yes</t>
        </is>
      </c>
      <c r="U10" s="11" t="inlineStr">
        <is>
          <t>-</t>
        </is>
      </c>
      <c r="V10" s="11" t="inlineStr">
        <is>
          <t>-</t>
        </is>
      </c>
      <c r="W10" s="11" t="inlineStr">
        <is>
          <t>-</t>
        </is>
      </c>
    </row>
    <row r="11" ht="57.5" customHeight="1">
      <c r="A11" s="7" t="inlineStr">
        <is>
          <t>TC-MISSVERIFY-03</t>
        </is>
      </c>
      <c r="B11" s="7" t="inlineStr">
        <is>
          <t>Không ghi gì khi checkpoint sớm hơn hạn chót 1 giây</t>
        </is>
      </c>
      <c r="C11" s="8" t="inlineStr">
        <is>
          <t>Như TC-01</t>
        </is>
      </c>
      <c r="D11" s="8" t="inlineStr">
        <is>
          <t>1. Đặt checkpoint = D − 1 s
2. Chạy lượt quét tại D + 1'</t>
        </is>
      </c>
      <c r="E11" s="8" t="inlineStr">
        <is>
          <t>cp = 09:59:59; now = 10:01</t>
        </is>
      </c>
      <c r="F11" s="8" t="inlineStr">
        <is>
          <t>Như TC-02: không bo_lo, không cảnh báo; liều vào hàng chờ, gõ cửa P một lần</t>
        </is>
      </c>
      <c r="G11" s="8" t="inlineStr">
        <is>
          <t>Đúng như mong đợi</t>
        </is>
      </c>
      <c r="H11" s="7" t="inlineStr">
        <is>
          <t>Pass</t>
        </is>
      </c>
      <c r="I11" s="8" t="inlineStr">
        <is>
          <t>AC18 · EP (4) · test_checkpoint_before_deadline_no_effect__AC18[cp1]</t>
        </is>
      </c>
      <c r="K11" s="9" t="inlineStr">
        <is>
          <t>Trạng thái liều lúc quét</t>
        </is>
      </c>
      <c r="L11" s="10" t="inlineStr">
        <is>
          <t>chưa có dòng dose_logs</t>
        </is>
      </c>
      <c r="M11" s="10" t="inlineStr">
        <is>
          <t>3</t>
        </is>
      </c>
      <c r="N11" s="10" t="inlineStr">
        <is>
          <t>đã xác nhận (da_uong) trước khi quét</t>
        </is>
      </c>
      <c r="O11" s="10" t="inlineStr">
        <is>
          <t>7</t>
        </is>
      </c>
      <c r="Q11" s="10" t="inlineStr">
        <is>
          <t>Patient còn consent family_sharing?</t>
        </is>
      </c>
      <c r="R11" s="11" t="inlineStr">
        <is>
          <t>Yes</t>
        </is>
      </c>
      <c r="S11" s="11" t="inlineStr">
        <is>
          <t>Yes</t>
        </is>
      </c>
      <c r="T11" s="11" t="inlineStr">
        <is>
          <t>No</t>
        </is>
      </c>
      <c r="U11" s="11" t="inlineStr">
        <is>
          <t>-</t>
        </is>
      </c>
      <c r="V11" s="11" t="inlineStr">
        <is>
          <t>-</t>
        </is>
      </c>
      <c r="W11" s="11" t="inlineStr">
        <is>
          <t>-</t>
        </is>
      </c>
    </row>
    <row r="12" ht="74" customHeight="1">
      <c r="A12" s="7" t="inlineStr">
        <is>
          <t>TC-MISSVERIFY-04</t>
        </is>
      </c>
      <c r="B12" s="7" t="inlineStr">
        <is>
          <t>Xác minh liều trong hàng chờ khi patient đồng bộ muộn sau khi cursor đã đi qua</t>
        </is>
      </c>
      <c r="C12" s="8" t="inlineStr">
        <is>
          <t>Như TC-02 (liều 08:00 trong hàng chờ)</t>
        </is>
      </c>
      <c r="D12" s="8" t="inlineStr">
        <is>
          <t>1. Chạy lượt quét lúc 10:01, 13:01, 15:01 (P chưa đồng bộ)
2. Đặt checkpoint = 15:00
3. Chạy lượt quét lúc 15:15</t>
        </is>
      </c>
      <c r="E12" s="8" t="inlineStr">
        <is>
          <t>cp = 15:00 VN</t>
        </is>
      </c>
      <c r="F12" s="8" t="inlineStr">
        <is>
          <t>Ba lượt đầu: chỉ gõ cửa một lần, không bo_lo; lượt 15:15 ghi bo_lo và báo F như TC-01 dù cursor đã qua L; hàng chờ trống</t>
        </is>
      </c>
      <c r="G12" s="8" t="inlineStr">
        <is>
          <t>Đúng như mong đợi</t>
        </is>
      </c>
      <c r="H12" s="7" t="inlineStr">
        <is>
          <t>Pass</t>
        </is>
      </c>
      <c r="I12" s="8" t="inlineStr">
        <is>
          <t>AC19 · test_late_checkpoint_verifies_after_cursor_passed__AC19</t>
        </is>
      </c>
      <c r="Q12" s="6" t="inlineStr">
        <is>
          <t>Action</t>
        </is>
      </c>
      <c r="R12" s="5" t="inlineStr">
        <is>
          <t>R1</t>
        </is>
      </c>
      <c r="S12" s="5" t="inlineStr">
        <is>
          <t>R2</t>
        </is>
      </c>
      <c r="T12" s="5" t="inlineStr">
        <is>
          <t>R3</t>
        </is>
      </c>
      <c r="U12" s="5" t="inlineStr">
        <is>
          <t>R4</t>
        </is>
      </c>
      <c r="V12" s="5" t="inlineStr">
        <is>
          <t>R5</t>
        </is>
      </c>
      <c r="W12" s="5" t="inlineStr">
        <is>
          <t>R6</t>
        </is>
      </c>
    </row>
    <row r="13" ht="74" customHeight="1">
      <c r="A13" s="7" t="inlineStr">
        <is>
          <t>TC-MISSVERIFY-05</t>
        </is>
      </c>
      <c r="B13" s="7" t="inlineStr">
        <is>
          <t>Không báo khi xác nhận đến muộn trước checkpoint</t>
        </is>
      </c>
      <c r="C13" s="8" t="inlineStr">
        <is>
          <t>Như TC-02 (liều trong hàng chờ)</t>
        </is>
      </c>
      <c r="D13" s="8" t="inlineStr">
        <is>
          <t>1. Lúc 15:00, P gửi POST /doses/batch taken_at = 08:10
2. Đặt checkpoint = 15:00
3. Chạy lượt quét lúc 15:15</t>
        </is>
      </c>
      <c r="E13" s="8" t="inlineStr">
        <is>
          <t>taken_at = 2026-10-19T08:10:00+07:00</t>
        </is>
      </c>
      <c r="F13" s="8" t="inlineStr">
        <is>
          <t>Liều là da_uong; F không bao giờ có notifications hay push về L; hàng chờ trống</t>
        </is>
      </c>
      <c r="G13" s="8" t="inlineStr">
        <is>
          <t>Đúng như mong đợi</t>
        </is>
      </c>
      <c r="H13" s="7" t="inlineStr">
        <is>
          <t>Pass</t>
        </is>
      </c>
      <c r="I13" s="8" t="inlineStr">
        <is>
          <t>AC20 · test_late_confirmation_then_checkpoint_never_alerts__AC20</t>
        </is>
      </c>
      <c r="Q13" s="10" t="inlineStr">
        <is>
          <t>Có notifications + push (token Android)</t>
        </is>
      </c>
      <c r="R13" s="11" t="inlineStr">
        <is>
          <t>X</t>
        </is>
      </c>
      <c r="S13" s="11" t="inlineStr"/>
      <c r="T13" s="11" t="inlineStr"/>
      <c r="U13" s="11" t="inlineStr"/>
      <c r="V13" s="11" t="inlineStr"/>
      <c r="W13" s="11" t="inlineStr"/>
    </row>
    <row r="14" ht="57.5" customHeight="1">
      <c r="A14" s="7" t="inlineStr">
        <is>
          <t>TC-MISSVERIFY-06</t>
        </is>
      </c>
      <c r="B14" s="7" t="inlineStr">
        <is>
          <t>Coi checkpoint đúng bằng hạn chót là đã xác minh</t>
        </is>
      </c>
      <c r="C14" s="8" t="inlineStr">
        <is>
          <t>Như TC-01</t>
        </is>
      </c>
      <c r="D14" s="8" t="inlineStr">
        <is>
          <t>1. Đặt checkpoint = D
2. Chạy lượt quét tại D + 1'</t>
        </is>
      </c>
      <c r="E14" s="8" t="inlineStr">
        <is>
          <t>cp = 10:00:00.000000</t>
        </is>
      </c>
      <c r="F14" s="8" t="inlineStr">
        <is>
          <t>bo_lo + một cảnh báo + một push cho F</t>
        </is>
      </c>
      <c r="G14" s="8" t="inlineStr">
        <is>
          <t>Đúng như mong đợi</t>
        </is>
      </c>
      <c r="H14" s="7" t="inlineStr">
        <is>
          <t>Pass</t>
        </is>
      </c>
      <c r="I14" s="8" t="inlineStr">
        <is>
          <t>AC21 · BVA (min) · test_checkpoint_boundary_microsecond__AC21[cp0-True]</t>
        </is>
      </c>
      <c r="Q14" s="10" t="inlineStr">
        <is>
          <t>Liều vẫn bo_lo, người thân không có gì</t>
        </is>
      </c>
      <c r="R14" s="11" t="inlineStr"/>
      <c r="S14" s="11" t="inlineStr">
        <is>
          <t>X</t>
        </is>
      </c>
      <c r="T14" s="11" t="inlineStr">
        <is>
          <t>X</t>
        </is>
      </c>
      <c r="U14" s="11" t="inlineStr">
        <is>
          <t>X</t>
        </is>
      </c>
      <c r="V14" s="11" t="inlineStr">
        <is>
          <t>X</t>
        </is>
      </c>
      <c r="W14" s="11" t="inlineStr">
        <is>
          <t>X</t>
        </is>
      </c>
    </row>
    <row r="15" ht="57.5" customHeight="1">
      <c r="A15" s="7" t="inlineStr">
        <is>
          <t>TC-MISSVERIFY-07</t>
        </is>
      </c>
      <c r="B15" s="7" t="inlineStr">
        <is>
          <t>Coi checkpoint sớm hơn hạn chót 1 micro giây là chưa xác minh</t>
        </is>
      </c>
      <c r="C15" s="8" t="inlineStr">
        <is>
          <t>Như TC-01</t>
        </is>
      </c>
      <c r="D15" s="8" t="inlineStr">
        <is>
          <t>1. Đặt checkpoint = D − 1 µs
2. Chạy lượt quét tại D + 1'</t>
        </is>
      </c>
      <c r="E15" s="8" t="inlineStr">
        <is>
          <t>cp = 09:59:59.999999</t>
        </is>
      </c>
      <c r="F15" s="8" t="inlineStr">
        <is>
          <t>Không bo_lo; liều vào hàng chờ</t>
        </is>
      </c>
      <c r="G15" s="8" t="inlineStr">
        <is>
          <t>Đúng như mong đợi</t>
        </is>
      </c>
      <c r="H15" s="7" t="inlineStr">
        <is>
          <t>Pass</t>
        </is>
      </c>
      <c r="I15" s="8" t="inlineStr">
        <is>
          <t>AC21 · BVA (min-1) · test_checkpoint_boundary_microsecond__AC21[cp1-False]</t>
        </is>
      </c>
    </row>
    <row r="16" ht="57.5" customHeight="1">
      <c r="A16" s="7" t="inlineStr">
        <is>
          <t>TC-MISSVERIFY-08</t>
        </is>
      </c>
      <c r="B16" s="7" t="inlineStr">
        <is>
          <t>Chưa xử lý liều khi lượt quét chạy đúng tại hạn chót</t>
        </is>
      </c>
      <c r="C16" s="8" t="inlineStr">
        <is>
          <t>Như TC-01, cp = D + 5'</t>
        </is>
      </c>
      <c r="D16" s="8" t="inlineStr">
        <is>
          <t>1. Chạy lượt quét tại now = D
2. Chạy lượt quét tại now = D + 1 s</t>
        </is>
      </c>
      <c r="E16" s="8" t="inlineStr">
        <is>
          <t>now = 10:00:00 rồi 10:00:01</t>
        </is>
      </c>
      <c r="F16" s="8" t="inlineStr">
        <is>
          <t>Tại D: không dose_logs, không hàng chờ, không push. Tại D + 1 s: như TC-01</t>
        </is>
      </c>
      <c r="G16" s="8" t="inlineStr">
        <is>
          <t>Đúng như mong đợi</t>
        </is>
      </c>
      <c r="H16" s="7" t="inlineStr">
        <is>
          <t>Pass</t>
        </is>
      </c>
      <c r="I16" s="8" t="inlineStr">
        <is>
          <t>AC22 · EP (6) · BVA (max, max+1) · test_now_equal_deadline__AC22</t>
        </is>
      </c>
    </row>
    <row r="17" ht="41" customHeight="1">
      <c r="A17" s="7" t="inlineStr">
        <is>
          <t>TC-MISSVERIFY-09</t>
        </is>
      </c>
      <c r="B17" s="7" t="inlineStr">
        <is>
          <t>Không đổi liều đã xác nhận trước hạn chót</t>
        </is>
      </c>
      <c r="C17" s="8" t="inlineStr">
        <is>
          <t>P xác nhận L lúc 08:10 (da_uong); cp = D + 5'</t>
        </is>
      </c>
      <c r="D17" s="8" t="inlineStr">
        <is>
          <t>1. Chạy lượt quét tại D + 6'</t>
        </is>
      </c>
      <c r="E17" s="8" t="inlineStr">
        <is>
          <t>taken_at = 08:10</t>
        </is>
      </c>
      <c r="F17" s="8" t="inlineStr">
        <is>
          <t>Dòng giữ nguyên da_uong; không cảnh báo; không hàng chờ; không gõ cửa</t>
        </is>
      </c>
      <c r="G17" s="8" t="inlineStr">
        <is>
          <t>Đúng như mong đợi</t>
        </is>
      </c>
      <c r="H17" s="7" t="inlineStr">
        <is>
          <t>Pass</t>
        </is>
      </c>
      <c r="I17" s="8" t="inlineStr">
        <is>
          <t>AC23 · EP (7) · test_confirmed_before_deadline__AC23</t>
        </is>
      </c>
    </row>
    <row r="18" ht="41" customHeight="1">
      <c r="A18" s="7" t="inlineStr">
        <is>
          <t>TC-MISSVERIFY-10</t>
        </is>
      </c>
      <c r="B18" s="7" t="inlineStr">
        <is>
          <t>Giữ một kết quả khi quét chồng lấn nhiều lượt</t>
        </is>
      </c>
      <c r="C18" s="8" t="inlineStr">
        <is>
          <t>Như TC-01</t>
        </is>
      </c>
      <c r="D18" s="8" t="inlineStr">
        <is>
          <t>1. Chạy lượt quét tại D + 6', D + 7', D + 20'</t>
        </is>
      </c>
      <c r="E18" s="8" t="inlineStr">
        <is>
          <t>3 lượt quét, overlap 30'</t>
        </is>
      </c>
      <c r="F18" s="8" t="inlineStr">
        <is>
          <t>Một dòng bo_lo, một notifications, tổng một push</t>
        </is>
      </c>
      <c r="G18" s="8" t="inlineStr">
        <is>
          <t>Đúng như mong đợi</t>
        </is>
      </c>
      <c r="H18" s="7" t="inlineStr">
        <is>
          <t>Pass</t>
        </is>
      </c>
      <c r="I18" s="8" t="inlineStr">
        <is>
          <t>AC24 · test_overlapping_scans_single_effect__AC24</t>
        </is>
      </c>
    </row>
    <row r="19" ht="74" customHeight="1">
      <c r="A19" s="7" t="inlineStr">
        <is>
          <t>TC-MISSVERIFY-11</t>
        </is>
      </c>
      <c r="B19" s="7" t="inlineStr">
        <is>
          <t>Không báo người thân khi patient tắt chia sẻ</t>
        </is>
      </c>
      <c r="C19" s="8" t="inlineStr">
        <is>
          <t>F liên kết active, sharing_enabled = false; F có token Android</t>
        </is>
      </c>
      <c r="D19" s="8" t="inlineStr">
        <is>
          <t>1. cp = D + 5'
2. Quét tại D + 6'</t>
        </is>
      </c>
      <c r="E19" s="8" t="inlineStr">
        <is>
          <t>sharing_enabled = false</t>
        </is>
      </c>
      <c r="F19" s="8" t="inlineStr">
        <is>
          <t>Liều bo_lo; F không có notifications, không push</t>
        </is>
      </c>
      <c r="G19" s="8" t="inlineStr">
        <is>
          <t>Đúng như mong đợi</t>
        </is>
      </c>
      <c r="H19" s="7" t="inlineStr">
        <is>
          <t>Pass</t>
        </is>
      </c>
      <c r="I19" s="8" t="inlineStr">
        <is>
          <t>AC28 · Decision Table (R2) · test_recipient_without_permission_gets_nothing__AC28[sharing_off]</t>
        </is>
      </c>
    </row>
    <row r="20" ht="74" customHeight="1">
      <c r="A20" s="7" t="inlineStr">
        <is>
          <t>TC-MISSVERIFY-12</t>
        </is>
      </c>
      <c r="B20" s="7" t="inlineStr">
        <is>
          <t>Không báo người thân khi patient đã rút consent family_sharing</t>
        </is>
      </c>
      <c r="C20" s="8" t="inlineStr">
        <is>
          <t>Liên kết active + chia sẻ; consent family_sharing của P đã thu_hoi</t>
        </is>
      </c>
      <c r="D20" s="8" t="inlineStr">
        <is>
          <t>1. cp = D + 5'
2. Quét tại D + 6'</t>
        </is>
      </c>
      <c r="E20" s="8" t="inlineStr">
        <is>
          <t>user_consents.family_sharing = thu_hoi</t>
        </is>
      </c>
      <c r="F20" s="8" t="inlineStr">
        <is>
          <t>Liều bo_lo; F không có gì</t>
        </is>
      </c>
      <c r="G20" s="8" t="inlineStr">
        <is>
          <t>Đúng như mong đợi</t>
        </is>
      </c>
      <c r="H20" s="7" t="inlineStr">
        <is>
          <t>Pass</t>
        </is>
      </c>
      <c r="I20" s="8" t="inlineStr">
        <is>
          <t>AC28 · Decision Table (R3) · test_recipient_without_permission_gets_nothing__AC28[family_sharing_revoked]</t>
        </is>
      </c>
    </row>
    <row r="21" ht="57.5" customHeight="1">
      <c r="A21" s="7" t="inlineStr">
        <is>
          <t>TC-MISSVERIFY-13</t>
        </is>
      </c>
      <c r="B21" s="7" t="inlineStr">
        <is>
          <t>Không báo người thân có yêu cầu liên kết đang chờ duyệt</t>
        </is>
      </c>
      <c r="C21" s="8" t="inlineStr">
        <is>
          <t>caregiver_links.status = pending</t>
        </is>
      </c>
      <c r="D21" s="8" t="inlineStr">
        <is>
          <t>1. cp = D + 5'
2. Quét tại D + 6'</t>
        </is>
      </c>
      <c r="E21" s="8" t="inlineStr">
        <is>
          <t>status = pending</t>
        </is>
      </c>
      <c r="F21" s="8" t="inlineStr">
        <is>
          <t>Liều bo_lo; F không có gì</t>
        </is>
      </c>
      <c r="G21" s="8" t="inlineStr">
        <is>
          <t>Đúng như mong đợi</t>
        </is>
      </c>
      <c r="H21" s="7" t="inlineStr">
        <is>
          <t>Pass</t>
        </is>
      </c>
      <c r="I21" s="8" t="inlineStr">
        <is>
          <t>AC28 · Decision Table (R4) · test_recipient_without_permission_gets_nothing__AC28[pending]</t>
        </is>
      </c>
    </row>
    <row r="22" ht="57.5" customHeight="1">
      <c r="A22" s="7" t="inlineStr">
        <is>
          <t>TC-MISSVERIFY-14</t>
        </is>
      </c>
      <c r="B22" s="7" t="inlineStr">
        <is>
          <t>Không báo người thân đã bị hủy liên kết</t>
        </is>
      </c>
      <c r="C22" s="8" t="inlineStr">
        <is>
          <t>caregiver_links.status = revoked</t>
        </is>
      </c>
      <c r="D22" s="8" t="inlineStr">
        <is>
          <t>1. cp = D + 5'
2. Quét tại D + 6'</t>
        </is>
      </c>
      <c r="E22" s="8" t="inlineStr">
        <is>
          <t>status = revoked</t>
        </is>
      </c>
      <c r="F22" s="8" t="inlineStr">
        <is>
          <t>Liều bo_lo; F không có gì</t>
        </is>
      </c>
      <c r="G22" s="8" t="inlineStr">
        <is>
          <t>Đúng như mong đợi</t>
        </is>
      </c>
      <c r="H22" s="7" t="inlineStr">
        <is>
          <t>Pass</t>
        </is>
      </c>
      <c r="I22" s="8" t="inlineStr">
        <is>
          <t>AC28 · Decision Table (R5) · test_recipient_without_permission_gets_nothing__AC28[revoked]</t>
        </is>
      </c>
    </row>
    <row r="23" ht="57.5" customHeight="1">
      <c r="A23" s="7" t="inlineStr">
        <is>
          <t>TC-MISSVERIFY-15</t>
        </is>
      </c>
      <c r="B23" s="7" t="inlineStr">
        <is>
          <t>Không báo người dùng không có liên kết</t>
        </is>
      </c>
      <c r="C23" s="8" t="inlineStr">
        <is>
          <t>F không có caregiver_links với P</t>
        </is>
      </c>
      <c r="D23" s="8" t="inlineStr">
        <is>
          <t>1. cp = D + 5'
2. Quét tại D + 6'</t>
        </is>
      </c>
      <c r="E23" s="8" t="inlineStr">
        <is>
          <t>(không có liên kết)</t>
        </is>
      </c>
      <c r="F23" s="8" t="inlineStr">
        <is>
          <t>Liều bo_lo; F không có gì</t>
        </is>
      </c>
      <c r="G23" s="8" t="inlineStr">
        <is>
          <t>Đúng như mong đợi</t>
        </is>
      </c>
      <c r="H23" s="7" t="inlineStr">
        <is>
          <t>Pass</t>
        </is>
      </c>
      <c r="I23" s="8" t="inlineStr">
        <is>
          <t>AC28 · Decision Table (R6) · test_recipient_without_permission_gets_nothing__AC28[no_link]</t>
        </is>
      </c>
    </row>
    <row r="24" ht="74" customHeight="1">
      <c r="A24" s="7" t="inlineStr">
        <is>
          <t>TC-MISSVERIFY-16</t>
        </is>
      </c>
      <c r="B24" s="7" t="inlineStr">
        <is>
          <t>Không báo khi người thân mất quyền giữa lúc chưa xác minh và lúc xác minh</t>
        </is>
      </c>
      <c r="C24" s="8" t="inlineStr">
        <is>
          <t>Như TC-02 (liều trong hàng chờ)</t>
        </is>
      </c>
      <c r="D24" s="8" t="inlineStr">
        <is>
          <t>1. Hủy liên kết (revoked, tắt chia sẻ)
2. cp = 11:00
3. Quét lúc 11:15</t>
        </is>
      </c>
      <c r="E24" s="8" t="inlineStr">
        <is>
          <t>status: active → revoked</t>
        </is>
      </c>
      <c r="F24" s="8" t="inlineStr">
        <is>
          <t>Liều bo_lo; F không có notifications, không push</t>
        </is>
      </c>
      <c r="G24" s="8" t="inlineStr">
        <is>
          <t>Đúng như mong đợi</t>
        </is>
      </c>
      <c r="H24" s="7" t="inlineStr">
        <is>
          <t>Pass</t>
        </is>
      </c>
      <c r="I24" s="8" t="inlineStr">
        <is>
          <t>AC28 · kịch bản 'rút consent/hủy liên kết → hiệu lực ngay' · test_permission_lost_between_pending_and_verification__AC28</t>
        </is>
      </c>
    </row>
    <row r="25" ht="41" customHeight="1">
      <c r="A25" s="7" t="inlineStr">
        <is>
          <t>TC-MISSVERIFY-17</t>
        </is>
      </c>
      <c r="B25" s="7" t="inlineStr">
        <is>
          <t>Chỉ tạo hộp thư, không push, khi người thân chỉ có token iOS</t>
        </is>
      </c>
      <c r="C25" s="8" t="inlineStr">
        <is>
          <t>F đủ quyền, chỉ có token iOS</t>
        </is>
      </c>
      <c r="D25" s="8" t="inlineStr">
        <is>
          <t>1. cp = D + 5'
2. Quét tại D + 6'</t>
        </is>
      </c>
      <c r="E25" s="8" t="inlineStr">
        <is>
          <t>platform = ios</t>
        </is>
      </c>
      <c r="F25" s="8" t="inlineStr">
        <is>
          <t>F có một notifications; không push</t>
        </is>
      </c>
      <c r="G25" s="8" t="inlineStr">
        <is>
          <t>Đúng như mong đợi</t>
        </is>
      </c>
      <c r="H25" s="7" t="inlineStr">
        <is>
          <t>Pass</t>
        </is>
      </c>
      <c r="I25" s="8" t="inlineStr">
        <is>
          <t>AC29 · test_ios_only_family_gets_inbox_without_push__AC29</t>
        </is>
      </c>
    </row>
    <row r="26" ht="41" customHeight="1">
      <c r="A26" s="7" t="inlineStr">
        <is>
          <t>TC-MISSVERIFY-18</t>
        </is>
      </c>
      <c r="B26" s="7" t="inlineStr">
        <is>
          <t>Báo riêng từng thuốc khi quên ba thuốc cùng giờ</t>
        </is>
      </c>
      <c r="C26" s="8" t="inlineStr">
        <is>
          <t>P có 3 thuốc cùng 08:00; F đủ quyền</t>
        </is>
      </c>
      <c r="D26" s="8" t="inlineStr">
        <is>
          <t>1. cp = D + 5'
2. Quét tại D + 6'</t>
        </is>
      </c>
      <c r="E26" s="8" t="inlineStr">
        <is>
          <t>3 lịch 08:00</t>
        </is>
      </c>
      <c r="F26" s="8" t="inlineStr">
        <is>
          <t>3 dòng bo_lo, 3 notifications, 3 push (3 notification_id khác nhau)</t>
        </is>
      </c>
      <c r="G26" s="8" t="inlineStr">
        <is>
          <t>Đúng như mong đợi</t>
        </is>
      </c>
      <c r="H26" s="7" t="inlineStr">
        <is>
          <t>Pass</t>
        </is>
      </c>
      <c r="I26" s="8" t="inlineStr">
        <is>
          <t>AC30 · test_three_meds_three_alerts__AC30</t>
        </is>
      </c>
    </row>
    <row r="27" ht="41" customHeight="1">
      <c r="A27" s="7" t="inlineStr">
        <is>
          <t>TC-MISSVERIFY-19</t>
        </is>
      </c>
      <c r="B27" s="7" t="inlineStr">
        <is>
          <t>Bù đủ liều khi Worker ngừng chạy 3 giờ</t>
        </is>
      </c>
      <c r="C27" s="8" t="inlineStr">
        <is>
          <t>3 lịch 08:00, 09:00, 10:00; cursor lùi 3 giờ</t>
        </is>
      </c>
      <c r="D27" s="8" t="inlineStr">
        <is>
          <t>1. cp mới
2. Một lượt quét sau hạn chót của liều 10:00</t>
        </is>
      </c>
      <c r="E27" s="8" t="inlineStr">
        <is>
          <t>cursor = now − 120' − 3h</t>
        </is>
      </c>
      <c r="F27" s="8" t="inlineStr">
        <is>
          <t>3 dòng bo_lo, mỗi liều một dòng; 3 notifications</t>
        </is>
      </c>
      <c r="G27" s="8" t="inlineStr">
        <is>
          <t>Đúng như mong đợi</t>
        </is>
      </c>
      <c r="H27" s="7" t="inlineStr">
        <is>
          <t>Pass</t>
        </is>
      </c>
      <c r="I27" s="8" t="inlineStr">
        <is>
          <t>AC31 · test_cursor_lag_backfill__AC31</t>
        </is>
      </c>
    </row>
    <row r="28" ht="74" customHeight="1">
      <c r="A28" s="7" t="inlineStr">
        <is>
          <t>TC-MISSVERIFY-20</t>
        </is>
      </c>
      <c r="B28" s="7" t="inlineStr">
        <is>
          <t>Rollback toàn bộ lượt quét khi tạo cảnh báo lỗi</t>
        </is>
      </c>
      <c r="C28" s="8" t="inlineStr">
        <is>
          <t>Liều trong hàng chờ; cursor thật (job riêng); cp = 11:00</t>
        </is>
      </c>
      <c r="D28" s="8" t="inlineStr">
        <is>
          <t>1. Quét lúc 11:15 với tạo notifications ném lỗi
2. Kiểm DB
3. Quét lại lúc 11:30 bình thường</t>
        </is>
      </c>
      <c r="E28" s="8" t="inlineStr">
        <is>
          <t>RuntimeError giả lập trong create_missed_alert</t>
        </is>
      </c>
      <c r="F28" s="8" t="inlineStr">
        <is>
          <t>Lượt lỗi: không dose_logs, không notifications, cursor và hàng chờ giữ nguyên, không push. Lượt sau: bo_lo + cảnh báo như TC-01</t>
        </is>
      </c>
      <c r="G28" s="8" t="inlineStr">
        <is>
          <t>Đúng như mong đợi</t>
        </is>
      </c>
      <c r="H28" s="7" t="inlineStr">
        <is>
          <t>Pass</t>
        </is>
      </c>
      <c r="I28" s="8" t="inlineStr">
        <is>
          <t>AC32 · test_failure_rolls_back_all__AC32</t>
        </is>
      </c>
    </row>
    <row r="29" ht="57.5" customHeight="1">
      <c r="A29" s="7" t="inlineStr">
        <is>
          <t>TC-MISSVERIFY-21</t>
        </is>
      </c>
      <c r="B29" s="7" t="inlineStr">
        <is>
          <t>Vẫn báo liều bỏ lỡ của thuốc đã ngừng hoặc đã xóa lúc 09:00</t>
        </is>
      </c>
      <c r="C29" s="8" t="inlineStr">
        <is>
          <t>Lịch 08:00 đóng lúc 09:00; lịch 08:10 của thuốc bị xóa mềm lúc 09:00</t>
        </is>
      </c>
      <c r="D29" s="8" t="inlineStr">
        <is>
          <t>1. cp = 10:15
2. Quét lúc 10:16</t>
        </is>
      </c>
      <c r="E29" s="8" t="inlineStr">
        <is>
          <t>ended_at = deleted_at = 09:00</t>
        </is>
      </c>
      <c r="F29" s="8" t="inlineStr">
        <is>
          <t>Cả hai liều bo_lo và F được báo mỗi liều một cảnh báo</t>
        </is>
      </c>
      <c r="G29" s="8" t="inlineStr">
        <is>
          <t>Đúng như mong đợi</t>
        </is>
      </c>
      <c r="H29" s="7" t="inlineStr">
        <is>
          <t>Pass</t>
        </is>
      </c>
      <c r="I29" s="8" t="inlineStr">
        <is>
          <t>AC33 · test_stopped_or_deleted_medication_still_missed__AC33</t>
        </is>
      </c>
    </row>
    <row r="30" ht="57.5" customHeight="1">
      <c r="A30" s="7" t="inlineStr">
        <is>
          <t>TC-MISSVERIFY-22</t>
        </is>
      </c>
      <c r="B30" s="7" t="inlineStr">
        <is>
          <t>Báo bỏ lỡ sau khi xác nhận sớm bị từ chối</t>
        </is>
      </c>
      <c r="C30" s="8" t="inlineStr">
        <is>
          <t>Như TC-01</t>
        </is>
      </c>
      <c r="D30" s="8" t="inlineStr">
        <is>
          <t>1. POST /doses/batch taken_at = L − 31'
2. cp = D + 5'
3. Quét tại D + 6'</t>
        </is>
      </c>
      <c r="E30" s="8" t="inlineStr">
        <is>
          <t>taken_at = 07:29</t>
        </is>
      </c>
      <c r="F30" s="8" t="inlineStr">
        <is>
          <t>Mục trả failed, error.code = taken_at_too_early, http_status = 422; sau đó liều bo_lo và F được báo</t>
        </is>
      </c>
      <c r="G30" s="8" t="inlineStr">
        <is>
          <t>Đúng như mong đợi</t>
        </is>
      </c>
      <c r="H30" s="7" t="inlineStr">
        <is>
          <t>Pass</t>
        </is>
      </c>
      <c r="I30" s="8" t="inlineStr">
        <is>
          <t>AC34 · BVA (min-1) · test_too_early_confirmation_then_verified__AC34</t>
        </is>
      </c>
    </row>
    <row r="31" ht="41" customHeight="1">
      <c r="A31" s="7" t="inlineStr">
        <is>
          <t>TC-MISSVERIFY-23</t>
        </is>
      </c>
      <c r="B31" s="7" t="inlineStr">
        <is>
          <t>Không xét liều cũ ở lần chạy đầu sau triển khai</t>
        </is>
      </c>
      <c r="C31" s="8" t="inlineStr">
        <is>
          <t>Chưa có cursor; liều 08:00; cp ≥ D</t>
        </is>
      </c>
      <c r="D31" s="8" t="inlineStr">
        <is>
          <t>1. Quét tại D + 31'</t>
        </is>
      </c>
      <c r="E31" s="8" t="inlineStr">
        <is>
          <t>cursor = (không có)</t>
        </is>
      </c>
      <c r="F31" s="8" t="inlineStr">
        <is>
          <t>Không dose_logs, không hàng chờ, không gõ cửa, không cảnh báo</t>
        </is>
      </c>
      <c r="G31" s="8" t="inlineStr">
        <is>
          <t>Đúng như mong đợi</t>
        </is>
      </c>
      <c r="H31" s="7" t="inlineStr">
        <is>
          <t>Pass</t>
        </is>
      </c>
      <c r="I31" s="8" t="inlineStr">
        <is>
          <t>AC35 · test_first_run_window_skips_old_deadlines__AC35</t>
        </is>
      </c>
    </row>
    <row r="32" ht="107" customHeight="1">
      <c r="A32" s="7" t="inlineStr">
        <is>
          <t>TC-MISSVERIFY-24</t>
        </is>
      </c>
      <c r="B32" s="7" t="inlineStr">
        <is>
          <t>Báo đủ 9 liều sau 3 ngày offline, thân push là câu chung</t>
        </is>
      </c>
      <c r="C32" s="8" t="inlineStr">
        <is>
          <t>P có 3 lịch (08:00, 12:00, 16:00), offline 3 ngày; Worker quét mỗi tối</t>
        </is>
      </c>
      <c r="D32" s="8" t="inlineStr">
        <is>
          <t>1. Quét 19:00 mỗi ngày (P chưa đồng bộ)
2. cp = 20:00 ngày thứ 3
3. Quét 20:15
4. Dựng payload FCM của từng cảnh báo</t>
        </is>
      </c>
      <c r="E32" s="8" t="inlineStr">
        <is>
          <t>9 liều; full_name của P = Test User</t>
        </is>
      </c>
      <c r="F32" s="8" t="inlineStr">
        <is>
          <t>9 dòng bo_lo; 9 notifications đúng scheduled_at từng liều (nội dung hộp thư có tên P); 9 push, mỗi push một notification_id; thân push = 'Bạn có cảnh báo mới về người thân', payload không có tên P, tên thuốc, giờ liều</t>
        </is>
      </c>
      <c r="G32" s="8" t="inlineStr">
        <is>
          <t>Đúng như mong đợi</t>
        </is>
      </c>
      <c r="H32" s="7" t="inlineStr">
        <is>
          <t>Pass</t>
        </is>
      </c>
      <c r="I32" s="8" t="inlineStr">
        <is>
          <t>AC36 · Q10 · test_offline_three_days_nine_alerts_generic_body__AC36</t>
        </is>
      </c>
    </row>
    <row r="33" ht="57.5" customHeight="1">
      <c r="A33" s="7" t="inlineStr">
        <is>
          <t>TC-MISSVERIFY-25</t>
        </is>
      </c>
      <c r="B33" s="7" t="inlineStr">
        <is>
          <t>Gõ cửa một lần mỗi token Android của patient, không gõ iOS</t>
        </is>
      </c>
      <c r="C33" s="8" t="inlineStr">
        <is>
          <t>P có 2 token Android, 1 token iOS; 3 liều cùng qua hạn chót; chưa có checkpoint</t>
        </is>
      </c>
      <c r="D33" s="8" t="inlineStr">
        <is>
          <t>1. Quét
2. Quét lại 15' sau (chồng lấn)</t>
        </is>
      </c>
      <c r="E33" s="8" t="inlineStr">
        <is>
          <t>3 liều 08:00, 08:10, 08:20</t>
        </is>
      </c>
      <c r="F33" s="8" t="inlineStr">
        <is>
          <t>Mỗi token Android đúng một sync_request; iOS không; không notifications; lượt chồng lấn không gõ lại</t>
        </is>
      </c>
      <c r="G33" s="8" t="inlineStr">
        <is>
          <t>Đúng như mong đợi</t>
        </is>
      </c>
      <c r="H33" s="7" t="inlineStr">
        <is>
          <t>Pass</t>
        </is>
      </c>
      <c r="I33" s="8" t="inlineStr">
        <is>
          <t>AC37 · test_sync_request_android_only_once_per_token__AC37</t>
        </is>
      </c>
    </row>
    <row r="34" ht="41" customHeight="1">
      <c r="A34" s="7" t="inlineStr">
        <is>
          <t>TC-MISSVERIFY-26</t>
        </is>
      </c>
      <c r="B34" s="7" t="inlineStr">
        <is>
          <t>Không gõ cửa với liều đã xác minh hoặc đã xác nhận</t>
        </is>
      </c>
      <c r="C34" s="8" t="inlineStr">
        <is>
          <t>Liều A chưa xác nhận, liều B đã xác nhận; cp ≥ D</t>
        </is>
      </c>
      <c r="D34" s="8" t="inlineStr">
        <is>
          <t>1. Quét tại D + 6'</t>
        </is>
      </c>
      <c r="E34" s="8" t="inlineStr">
        <is>
          <t>cp = D + 5'</t>
        </is>
      </c>
      <c r="F34" s="8" t="inlineStr">
        <is>
          <t>Không sync_request; A bo_lo + cảnh báo</t>
        </is>
      </c>
      <c r="G34" s="8" t="inlineStr">
        <is>
          <t>Đúng như mong đợi</t>
        </is>
      </c>
      <c r="H34" s="7" t="inlineStr">
        <is>
          <t>Pass</t>
        </is>
      </c>
      <c r="I34" s="8" t="inlineStr">
        <is>
          <t>AC37 · test_verified_or_confirmed_doses_do_not_knock__AC37</t>
        </is>
      </c>
    </row>
    <row r="35" ht="41" customHeight="1">
      <c r="A35" s="7" t="inlineStr">
        <is>
          <t>TC-MISSVERIFY-27</t>
        </is>
      </c>
      <c r="B35" s="7" t="inlineStr">
        <is>
          <t>Sinh đúng một lượt uống cho lịch hằng ngày</t>
        </is>
      </c>
      <c r="C35" s="8" t="inlineStr">
        <is>
          <t>Lịch 08:00 mọi ngày</t>
        </is>
      </c>
      <c r="D35" s="8" t="inlineStr">
        <is>
          <t>1. Gọi occurrences_between bằng worker_role với cửa sổ [00:00Z, 02:00Z) ngày 05/10</t>
        </is>
      </c>
      <c r="E35" s="8" t="inlineStr">
        <is>
          <t>cửa sổ 2026-10-05 00:00Z–02:00Z</t>
        </is>
      </c>
      <c r="F35" s="8" t="inlineStr">
        <is>
          <t>Đúng một lượt (schedule_id kiểu int, P, 01:00:00Z)</t>
        </is>
      </c>
      <c r="G35" s="8" t="inlineStr">
        <is>
          <t>Đúng như mong đợi</t>
        </is>
      </c>
      <c r="H35" s="7" t="inlineStr">
        <is>
          <t>Pass</t>
        </is>
      </c>
      <c r="I35" s="8" t="inlineStr">
        <is>
          <t>AC1 · test_daily_one_occurrence__AC1</t>
        </is>
      </c>
    </row>
    <row r="36" ht="41" customHeight="1">
      <c r="A36" s="7" t="inlineStr">
        <is>
          <t>TC-MISSVERIFY-28</t>
        </is>
      </c>
      <c r="B36" s="7" t="inlineStr">
        <is>
          <t>Gán lượt uống đúng lịch khi lịch được thay cùng giờ</t>
        </is>
      </c>
      <c r="C36" s="8" t="inlineStr">
        <is>
          <t>S đóng 07:45 ngày 05/10, S2 cùng giờ mở từ 07:45</t>
        </is>
      </c>
      <c r="D36" s="8" t="inlineStr">
        <is>
          <t>1. Gọi occurrences_between cho 04/10–05/10</t>
        </is>
      </c>
      <c r="E36" s="8" t="inlineStr">
        <is>
          <t>switch = 2026-10-05 07:45 VN</t>
        </is>
      </c>
      <c r="F36" s="8" t="inlineStr">
        <is>
          <t>04/10 thuộc S, 05/10 thuộc S2, mỗi ngày một lượt</t>
        </is>
      </c>
      <c r="G36" s="8" t="inlineStr">
        <is>
          <t>Đúng như mong đợi</t>
        </is>
      </c>
      <c r="H36" s="7" t="inlineStr">
        <is>
          <t>Pass</t>
        </is>
      </c>
      <c r="I36" s="8" t="inlineStr">
        <is>
          <t>AC4 · test_schedule_replaced_same_time__AC4</t>
        </is>
      </c>
    </row>
    <row r="37" ht="57.5" customHeight="1">
      <c r="A37" s="7" t="inlineStr">
        <is>
          <t>TC-MISSVERIFY-29</t>
        </is>
      </c>
      <c r="B37" s="7" t="inlineStr">
        <is>
          <t>Sinh lượt uống trùng khớp tập liều của màn lịch sử</t>
        </is>
      </c>
      <c r="C37" s="8" t="inlineStr">
        <is>
          <t>Lịch mở, lịch đóng trong ngày, lịch đóng trước giờ, thuốc đã xóa, lịch 23:30</t>
        </is>
      </c>
      <c r="D37" s="8" t="inlineStr">
        <is>
          <t>1. GET /adherence cho ngày 05/10
2. occurrences_between cho cùng ngày
3. So hai tập (schedule_id, scheduled_at)</t>
        </is>
      </c>
      <c r="E37" s="8" t="inlineStr">
        <is>
          <t>5 lịch</t>
        </is>
      </c>
      <c r="F37" s="8" t="inlineStr">
        <is>
          <t>Hai tập bằng nhau, 4 lượt</t>
        </is>
      </c>
      <c r="G37" s="8" t="inlineStr">
        <is>
          <t>Đúng như mong đợi</t>
        </is>
      </c>
      <c r="H37" s="7" t="inlineStr">
        <is>
          <t>Pass</t>
        </is>
      </c>
      <c r="I37" s="8" t="inlineStr">
        <is>
          <t>AC10 · test_matches_history_generation__AC10</t>
        </is>
      </c>
    </row>
    <row r="38" ht="57.5" customHeight="1">
      <c r="A38" s="7" t="inlineStr">
        <is>
          <t>TC-MISSVERIFY-30</t>
        </is>
      </c>
      <c r="B38" s="7" t="inlineStr">
        <is>
          <t>Lọc theo giờ uống mà không làm mất lượt</t>
        </is>
      </c>
      <c r="C38" s="8" t="inlineStr">
        <is>
          <t>Lịch 07:00, 08:00, 09:00, 23:55, 00:05</t>
        </is>
      </c>
      <c r="D38" s="8" t="inlineStr">
        <is>
          <t>1. Cửa sổ [07:30, 08:01)
2. Cửa sổ [23:50, 00:10)
3. Cửa sổ ≥ 24 giờ</t>
        </is>
      </c>
      <c r="E38" s="8" t="inlineStr">
        <is>
          <t>3 cửa sổ</t>
        </is>
      </c>
      <c r="F38" s="8" t="inlineStr">
        <is>
          <t>Chỉ 08:00; đủ 23:55 và 00:05; đủ mọi lịch</t>
        </is>
      </c>
      <c r="G38" s="8" t="inlineStr">
        <is>
          <t>Đúng như mong đợi</t>
        </is>
      </c>
      <c r="H38" s="7" t="inlineStr">
        <is>
          <t>Pass</t>
        </is>
      </c>
      <c r="I38" s="8" t="inlineStr">
        <is>
          <t>AC11 · BVA · test_prefilter_keeps_results__AC11</t>
        </is>
      </c>
    </row>
    <row r="39" ht="57.5" customHeight="1">
      <c r="A39" s="7" t="inlineStr">
        <is>
          <t>TC-MISSVERIFY-31</t>
        </is>
      </c>
      <c r="B39" s="7" t="inlineStr">
        <is>
          <t>Vẫn xét liều 08:00 khi tắt nhắc lúc 09:00</t>
        </is>
      </c>
      <c r="C39" s="8" t="inlineStr">
        <is>
          <t>Lịch cũ 08:00 đóng 09:00, lịch mới tắt nhắc từ 09:00; thêm một lịch tắt nhắc từ đầu</t>
        </is>
      </c>
      <c r="D39" s="8" t="inlineStr">
        <is>
          <t>1. occurrences_between
2. cp ≥ D
3. Quét</t>
        </is>
      </c>
      <c r="E39" s="8" t="inlineStr">
        <is>
          <t>toggle = 09:00</t>
        </is>
      </c>
      <c r="F39" s="8" t="inlineStr">
        <is>
          <t>Có lượt 08:00 của lịch cũ; liều bo_lo + một cảnh báo; lịch tắt nhắc từ đầu không có gì; không gõ cửa</t>
        </is>
      </c>
      <c r="G39" s="8" t="inlineStr">
        <is>
          <t>Đúng như mong đợi</t>
        </is>
      </c>
      <c r="H39" s="7" t="inlineStr">
        <is>
          <t>Pass</t>
        </is>
      </c>
      <c r="I39" s="8" t="inlineStr">
        <is>
          <t>AC12 · test_reminder_disabled_and_toggle_time__AC12[9-True]</t>
        </is>
      </c>
    </row>
    <row r="40" ht="57.5" customHeight="1">
      <c r="A40" s="7" t="inlineStr">
        <is>
          <t>TC-MISSVERIFY-32</t>
        </is>
      </c>
      <c r="B40" s="7" t="inlineStr">
        <is>
          <t>Bỏ qua liều khi tắt nhắc lúc 07:00</t>
        </is>
      </c>
      <c r="C40" s="8" t="inlineStr">
        <is>
          <t>Như TC-31 với toggle = 07:00</t>
        </is>
      </c>
      <c r="D40" s="8" t="inlineStr">
        <is>
          <t>1. occurrences_between
2. cp ≥ D
3. Quét</t>
        </is>
      </c>
      <c r="E40" s="8" t="inlineStr">
        <is>
          <t>toggle = 07:00</t>
        </is>
      </c>
      <c r="F40" s="8" t="inlineStr">
        <is>
          <t>Không lượt, không bo_lo, không cảnh báo, không gõ cửa</t>
        </is>
      </c>
      <c r="G40" s="8" t="inlineStr">
        <is>
          <t>Đúng như mong đợi</t>
        </is>
      </c>
      <c r="H40" s="7" t="inlineStr">
        <is>
          <t>Pass</t>
        </is>
      </c>
      <c r="I40" s="8" t="inlineStr">
        <is>
          <t>AC12 · test_reminder_disabled_and_toggle_time__AC12[7-False]</t>
        </is>
      </c>
    </row>
    <row r="41" ht="90.5" customHeight="1">
      <c r="A41" s="7" t="inlineStr">
        <is>
          <t>TC-MISSVERIFY-33</t>
        </is>
      </c>
      <c r="B41" s="7" t="inlineStr">
        <is>
          <t>Tính theo taken_at khi xác nhận chờ khóa của Worker đang ghi bo_lo</t>
        </is>
      </c>
      <c r="C41" s="8" t="inlineStr">
        <is>
          <t>Worker (worker_role) đã ghi bo_lo cho L, chưa commit</t>
        </is>
      </c>
      <c r="D41" s="8" t="inlineStr">
        <is>
          <t>1. POST /doses/batch taken_at = 08:10 (chờ khóa)
2. Worker commit</t>
        </is>
      </c>
      <c r="E41" s="8" t="inlineStr">
        <is>
          <t>taken_at = 08:10</t>
        </is>
      </c>
      <c r="F41" s="8" t="inlineStr">
        <is>
          <t>Một dòng, da_uong, taken_at = 08:10</t>
        </is>
      </c>
      <c r="G41" s="8" t="inlineStr">
        <is>
          <t>Đúng như mong đợi</t>
        </is>
      </c>
      <c r="H41" s="7" t="inlineStr">
        <is>
          <t>Pass</t>
        </is>
      </c>
      <c r="I41" s="8" t="inlineStr">
        <is>
          <t>AC25 · kịch bản 'Worker chạy đua với xác nhận đến muộn → theo taken_at' · test_worker_race_late_confirmation_by_taken_at__AC25</t>
        </is>
      </c>
    </row>
    <row r="42" ht="41" customHeight="1">
      <c r="A42" s="7" t="inlineStr">
        <is>
          <t>TC-MISSVERIFY-34</t>
        </is>
      </c>
      <c r="B42" s="7" t="inlineStr">
        <is>
          <t>Không ghi bo_lo, không báo khi xác nhận commit trước Worker</t>
        </is>
      </c>
      <c r="C42" s="8" t="inlineStr">
        <is>
          <t>P xác nhận L lúc 08:10 trước lượt quét; F đủ quyền</t>
        </is>
      </c>
      <c r="D42" s="8" t="inlineStr">
        <is>
          <t>1. cp ≥ D
2. Quét</t>
        </is>
      </c>
      <c r="E42" s="8" t="inlineStr">
        <is>
          <t>taken_at = 08:10</t>
        </is>
      </c>
      <c r="F42" s="8" t="inlineStr">
        <is>
          <t>Một dòng da_uong; F không có notifications</t>
        </is>
      </c>
      <c r="G42" s="8" t="inlineStr">
        <is>
          <t>Đúng như mong đợi</t>
        </is>
      </c>
      <c r="H42" s="7" t="inlineStr">
        <is>
          <t>Pass</t>
        </is>
      </c>
      <c r="I42" s="8" t="inlineStr">
        <is>
          <t>AC25 · test_confirmation_first_then_worker_no_alert__AC25</t>
        </is>
      </c>
    </row>
    <row r="43" ht="90.5" customHeight="1">
      <c r="A43" s="7" t="inlineStr">
        <is>
          <t>TC-MISSVERIFY-35</t>
        </is>
      </c>
      <c r="B43" s="7" t="inlineStr">
        <is>
          <t>Chuyển bo_lo thành da_uong khi taken_at sớm 30' so với giờ hẹn</t>
        </is>
      </c>
      <c r="C43" s="8" t="inlineStr">
        <is>
          <t>L đã bo_lo (client_uuid NULL)</t>
        </is>
      </c>
      <c r="D43" s="8" t="inlineStr">
        <is>
          <t>1. POST /doses/batch
2. Gửi lại cùng client_uuid</t>
        </is>
      </c>
      <c r="E43" s="8" t="inlineStr">
        <is>
          <t>taken_at = L − 30'</t>
        </is>
      </c>
      <c r="F43" s="8" t="inlineStr">
        <is>
          <t>dose_status = da_uong; DB một dòng da_uong; gửi lại trả cùng dose_log_id và trạng thái</t>
        </is>
      </c>
      <c r="G43" s="8" t="inlineStr">
        <is>
          <t>Đúng như mong đợi</t>
        </is>
      </c>
      <c r="H43" s="7" t="inlineStr">
        <is>
          <t>Pass</t>
        </is>
      </c>
      <c r="I43" s="8" t="inlineStr">
        <is>
          <t>AC26 · BVA (min) · kịch bản 'cùng client_uuid → một bản ghi' · test_confirmation_after_missed_by_taken_at__AC26[delay0-da_uong]</t>
        </is>
      </c>
    </row>
    <row r="44" ht="57.5" customHeight="1">
      <c r="A44" s="7" t="inlineStr">
        <is>
          <t>TC-MISSVERIFY-36</t>
        </is>
      </c>
      <c r="B44" s="7" t="inlineStr">
        <is>
          <t>Chuyển bo_lo thành da_uong khi taken_at = L + 10'</t>
        </is>
      </c>
      <c r="C44" s="8" t="inlineStr">
        <is>
          <t>Như TC-35</t>
        </is>
      </c>
      <c r="D44" s="8" t="inlineStr">
        <is>
          <t>1. POST /doses/batch
2. Gửi lại cùng client_uuid</t>
        </is>
      </c>
      <c r="E44" s="8" t="inlineStr">
        <is>
          <t>taken_at = L + 10'</t>
        </is>
      </c>
      <c r="F44" s="8" t="inlineStr">
        <is>
          <t>da_uong; một dòng</t>
        </is>
      </c>
      <c r="G44" s="8" t="inlineStr">
        <is>
          <t>Đúng như mong đợi</t>
        </is>
      </c>
      <c r="H44" s="7" t="inlineStr">
        <is>
          <t>Pass</t>
        </is>
      </c>
      <c r="I44" s="8" t="inlineStr">
        <is>
          <t>AC26 · test_confirmation_after_missed_by_taken_at__AC26[delay1-da_uong]</t>
        </is>
      </c>
    </row>
    <row r="45" ht="57.5" customHeight="1">
      <c r="A45" s="7" t="inlineStr">
        <is>
          <t>TC-MISSVERIFY-37</t>
        </is>
      </c>
      <c r="B45" s="7" t="inlineStr">
        <is>
          <t>Chuyển bo_lo thành da_uong khi taken_at đúng L + 30'</t>
        </is>
      </c>
      <c r="C45" s="8" t="inlineStr">
        <is>
          <t>Như TC-35</t>
        </is>
      </c>
      <c r="D45" s="8" t="inlineStr">
        <is>
          <t>1. POST /doses/batch
2. Gửi lại cùng client_uuid</t>
        </is>
      </c>
      <c r="E45" s="8" t="inlineStr">
        <is>
          <t>taken_at = L + 30'</t>
        </is>
      </c>
      <c r="F45" s="8" t="inlineStr">
        <is>
          <t>da_uong; một dòng</t>
        </is>
      </c>
      <c r="G45" s="8" t="inlineStr">
        <is>
          <t>Đúng như mong đợi</t>
        </is>
      </c>
      <c r="H45" s="7" t="inlineStr">
        <is>
          <t>Pass</t>
        </is>
      </c>
      <c r="I45" s="8" t="inlineStr">
        <is>
          <t>AC26 · BVA (max) · test_confirmation_after_missed_by_taken_at__AC26[delay2-da_uong]</t>
        </is>
      </c>
    </row>
    <row r="46" ht="57.5" customHeight="1">
      <c r="A46" s="7" t="inlineStr">
        <is>
          <t>TC-MISSVERIFY-38</t>
        </is>
      </c>
      <c r="B46" s="7" t="inlineStr">
        <is>
          <t>Chuyển bo_lo thành uong_tre khi taken_at = L + 30' + 1 µs</t>
        </is>
      </c>
      <c r="C46" s="8" t="inlineStr">
        <is>
          <t>Như TC-35</t>
        </is>
      </c>
      <c r="D46" s="8" t="inlineStr">
        <is>
          <t>1. POST /doses/batch
2. Gửi lại cùng client_uuid</t>
        </is>
      </c>
      <c r="E46" s="8" t="inlineStr">
        <is>
          <t>taken_at = L + 30' + 1 µs</t>
        </is>
      </c>
      <c r="F46" s="8" t="inlineStr">
        <is>
          <t>uong_tre; một dòng</t>
        </is>
      </c>
      <c r="G46" s="8" t="inlineStr">
        <is>
          <t>Đúng như mong đợi</t>
        </is>
      </c>
      <c r="H46" s="7" t="inlineStr">
        <is>
          <t>Pass</t>
        </is>
      </c>
      <c r="I46" s="8" t="inlineStr">
        <is>
          <t>AC26 · BVA (max+1) · test_confirmation_after_missed_by_taken_at__AC26[delay3-uong_tre]</t>
        </is>
      </c>
    </row>
    <row r="47" ht="57.5" customHeight="1">
      <c r="A47" s="7" t="inlineStr">
        <is>
          <t>TC-MISSVERIFY-39</t>
        </is>
      </c>
      <c r="B47" s="7" t="inlineStr">
        <is>
          <t>Chuyển bo_lo thành uong_tre khi taken_at = L + 90'</t>
        </is>
      </c>
      <c r="C47" s="8" t="inlineStr">
        <is>
          <t>Như TC-35</t>
        </is>
      </c>
      <c r="D47" s="8" t="inlineStr">
        <is>
          <t>1. POST /doses/batch
2. Gửi lại cùng client_uuid</t>
        </is>
      </c>
      <c r="E47" s="8" t="inlineStr">
        <is>
          <t>taken_at = L + 90'</t>
        </is>
      </c>
      <c r="F47" s="8" t="inlineStr">
        <is>
          <t>uong_tre; một dòng</t>
        </is>
      </c>
      <c r="G47" s="8" t="inlineStr">
        <is>
          <t>Đúng như mong đợi</t>
        </is>
      </c>
      <c r="H47" s="7" t="inlineStr">
        <is>
          <t>Pass</t>
        </is>
      </c>
      <c r="I47" s="8" t="inlineStr">
        <is>
          <t>AC26 · test_confirmation_after_missed_by_taken_at__AC26[delay4-uong_tre]</t>
        </is>
      </c>
    </row>
    <row r="48" ht="57.5" customHeight="1">
      <c r="A48" s="7" t="inlineStr">
        <is>
          <t>TC-MISSVERIFY-40</t>
        </is>
      </c>
      <c r="B48" s="7" t="inlineStr">
        <is>
          <t>Giữ bo_lo khi taken_at = L + 150'</t>
        </is>
      </c>
      <c r="C48" s="8" t="inlineStr">
        <is>
          <t>Như TC-35</t>
        </is>
      </c>
      <c r="D48" s="8" t="inlineStr">
        <is>
          <t>1. POST /doses/batch
2. Gửi lại cùng client_uuid</t>
        </is>
      </c>
      <c r="E48" s="8" t="inlineStr">
        <is>
          <t>taken_at = L + 150'</t>
        </is>
      </c>
      <c r="F48" s="8" t="inlineStr">
        <is>
          <t>dose_status = bo_lo; taken_at NULL; một dòng</t>
        </is>
      </c>
      <c r="G48" s="8" t="inlineStr">
        <is>
          <t>Đúng như mong đợi</t>
        </is>
      </c>
      <c r="H48" s="7" t="inlineStr">
        <is>
          <t>Pass</t>
        </is>
      </c>
      <c r="I48" s="8" t="inlineStr">
        <is>
          <t>AC26 · test_confirmation_after_missed_by_taken_at__AC26[delay5-bo_lo]</t>
        </is>
      </c>
    </row>
    <row r="49" ht="74" customHeight="1">
      <c r="A49" s="7" t="inlineStr">
        <is>
          <t>TC-MISSVERIFY-41</t>
        </is>
      </c>
      <c r="B49" s="7" t="inlineStr">
        <is>
          <t>Từ chối người thân xác nhận liều thay patient</t>
        </is>
      </c>
      <c r="C49" s="8" t="inlineStr">
        <is>
          <t>F liên kết active + chia sẻ với P</t>
        </is>
      </c>
      <c r="D49" s="8" t="inlineStr">
        <is>
          <t>1. F gửi POST /doses/batch cho lịch của P</t>
        </is>
      </c>
      <c r="E49" s="8" t="inlineStr">
        <is>
          <t>Bearer của F</t>
        </is>
      </c>
      <c r="F49" s="8" t="inlineStr">
        <is>
          <t>Mục failed, error.code = forbidden_schedule, http_status = 403; không dose_logs; access_logs có dòng (family, denied, khong_co_quyen)</t>
        </is>
      </c>
      <c r="G49" s="8" t="inlineStr">
        <is>
          <t>Đúng như mong đợi</t>
        </is>
      </c>
      <c r="H49" s="7" t="inlineStr">
        <is>
          <t>Pass</t>
        </is>
      </c>
      <c r="I49" s="8" t="inlineStr">
        <is>
          <t>Q2 · kịch bản 'truy cập chéo → 403 + denied' · test_family_cannot_confirm_logs_denied__Q2</t>
        </is>
      </c>
    </row>
    <row r="50" ht="90.5" customHeight="1">
      <c r="A50" s="7" t="inlineStr">
        <is>
          <t>TC-MISSVERIFY-42</t>
        </is>
      </c>
      <c r="B50" s="7" t="inlineStr">
        <is>
          <t>Tính trạng thái xác nhận theo bảng (hàm domain và câu upsert)</t>
        </is>
      </c>
      <c r="C50" s="8" t="inlineStr">
        <is>
          <t>Unit test</t>
        </is>
      </c>
      <c r="D50" s="8" t="inlineStr">
        <is>
          <t>1. Chạy ma trận status_after_confirmation (chưa có dòng / bo_lo / đã xác nhận × trạng thái tính từ taken_at)
2. Kiểm câu SQL upsert dùng EXCLUDED.status sau bo_lo</t>
        </is>
      </c>
      <c r="E50" s="8" t="inlineStr">
        <is>
          <t>10 tổ hợp</t>
        </is>
      </c>
      <c r="F50" s="8" t="inlineStr">
        <is>
          <t>Chưa có dòng hoặc bo_lo → lấy trạng thái tính; da_uong/uong_tre → giữ nguyên</t>
        </is>
      </c>
      <c r="G50" s="8" t="inlineStr">
        <is>
          <t>Đúng như mong đợi (10 tổ hợp + câu upsert)</t>
        </is>
      </c>
      <c r="H50" s="7" t="inlineStr">
        <is>
          <t>Pass</t>
        </is>
      </c>
      <c r="I50" s="8" t="inlineStr">
        <is>
          <t>AC27 · Decision Table · test_status_after_confirmation_matrix__AC27, test_upsert_uses_excluded_status_after_missed__AC27</t>
        </is>
      </c>
    </row>
    <row r="51" ht="123.5" customHeight="1">
      <c r="A51" s="7" t="inlineStr">
        <is>
          <t>TC-MISSVERIFY-43</t>
        </is>
      </c>
      <c r="B51" s="7" t="inlineStr">
        <is>
          <t>Gửi FCM HTTP v1 với máy chủ giả và gỡ token UNREGISTERED</t>
        </is>
      </c>
      <c r="C51" s="8" t="inlineStr">
        <is>
          <t>Unit test với httpx.MockTransport, khóa RSA sinh trong test</t>
        </is>
      </c>
      <c r="D51" s="8" t="inlineStr">
        <is>
          <t>1. Gửi cảnh báo và sync_request
2. Máy chủ giả trả 404 UNREGISTERED cho một token
3. Thiếu credential khi kênh = fcm</t>
        </is>
      </c>
      <c r="E51" s="8" t="inlineStr">
        <is>
          <t>NOTIFICATION_CHANNEL = fcm</t>
        </is>
      </c>
      <c r="F51" s="8" t="inlineStr">
        <is>
          <t>Payload đúng HTTP v1; access token được cache; token UNREGISTERED được trả để xóa sau commit; log không chứa token/payload; thiếu credential thì NotificationConfigError lúc khởi động</t>
        </is>
      </c>
      <c r="G51" s="8" t="inlineStr">
        <is>
          <t>Đúng như mong đợi</t>
        </is>
      </c>
      <c r="H51" s="7" t="inlineStr">
        <is>
          <t>Pass</t>
        </is>
      </c>
      <c r="I51" s="8" t="inlineStr">
        <is>
          <t>AC42 · test_unregistered_tokens_removed_after_commit__AC42, test_errors_logged_without_token_or_payload__AC42, test_missing_credentials_raise_config_error__AC42, test_access_token_cached_until_expiry__AC42</t>
        </is>
      </c>
    </row>
    <row r="52" ht="41" customHeight="1">
      <c r="A52" s="7" t="inlineStr">
        <is>
          <t>TC-MISSVERIFY-44</t>
        </is>
      </c>
      <c r="B52" s="7" t="inlineStr">
        <is>
          <t>Đặt chu kỳ quét 900 giây và ghi heartbeat một lần mỗi lượt</t>
        </is>
      </c>
      <c r="C52" s="8" t="inlineStr">
        <is>
          <t>Unit test, không có TICK_INTERVAL_SECONDS</t>
        </is>
      </c>
      <c r="D52" s="8" t="inlineStr">
        <is>
          <t>1. Đọc tick_interval_seconds và beat_schedule
2. Gọi record_worker_heartbeat('x')</t>
        </is>
      </c>
      <c r="E52" s="8" t="inlineStr">
        <is>
          <t>(không có biến môi trường)</t>
        </is>
      </c>
      <c r="F52" s="8" t="inlineStr">
        <is>
          <t>900; Beat đăng ký runtime.tick 900; health.record_heartbeat('x') gọi đúng một lần</t>
        </is>
      </c>
      <c r="G52" s="8" t="inlineStr">
        <is>
          <t>Đúng như mong đợi</t>
        </is>
      </c>
      <c r="H52" s="7" t="inlineStr">
        <is>
          <t>Pass</t>
        </is>
      </c>
      <c r="I52" s="8" t="inlineStr">
        <is>
          <t>AC44 · AC45 · test_scheduler.py</t>
        </is>
      </c>
    </row>
    <row r="53" ht="57.5" customHeight="1">
      <c r="A53" s="7" t="inlineStr">
        <is>
          <t>TC-MISSVERIFY-45</t>
        </is>
      </c>
      <c r="B53" s="7" t="inlineStr">
        <is>
          <t>Ghi heartbeat bằng worker_role và báo sẵn sàng</t>
        </is>
      </c>
      <c r="C53" s="8" t="inlineStr">
        <is>
          <t>DB local</t>
        </is>
      </c>
      <c r="D53" s="8" t="inlineStr">
        <is>
          <t>1. record_worker_heartbeat('it-3.19') bằng worker_role
2. GET /health/ready</t>
        </is>
      </c>
      <c r="E53" s="8" t="inlineStr">
        <is>
          <t>instance_id = it-3.19</t>
        </is>
      </c>
      <c r="F53" s="8" t="inlineStr">
        <is>
          <t>worker_heartbeats có dòng mới; /health/ready báo database = true, worker_heartbeat = true</t>
        </is>
      </c>
      <c r="G53" s="8" t="inlineStr">
        <is>
          <t>Đúng như mong đợi</t>
        </is>
      </c>
      <c r="H53" s="7" t="inlineStr">
        <is>
          <t>Pass</t>
        </is>
      </c>
      <c r="I53" s="8" t="inlineStr">
        <is>
          <t>AC46 · test_heartbeat_row_and_ready__AC46</t>
        </is>
      </c>
    </row>
    <row r="54" ht="107" customHeight="1">
      <c r="A54" s="7" t="inlineStr">
        <is>
          <t>TC-MISSVERIFY-46</t>
        </is>
      </c>
      <c r="B54" s="7" t="inlineStr">
        <is>
          <t>Đánh thức app patient đã tắt hẳn bằng push gõ cửa trên máy thật</t>
        </is>
      </c>
      <c r="C54" s="8" t="inlineStr">
        <is>
          <t>Emulator Android có Google Play, app DrugTime đăng nhập patient, tiến trình đã bị dừng (am kill, không force-stop); FCM thật drugtime-f14e8; backend local</t>
        </is>
      </c>
      <c r="D54" s="8" t="inlineStr">
        <is>
          <t>1. Tạo liều đã quá hạn, xóa checkpoint của P
2. Chạy lượt quét lần 1
3. Theo dõi logcat và bảng dose_sync_checkpoints
4. Chạy lượt quét lần 2</t>
        </is>
      </c>
      <c r="E54" s="8" t="inlineStr">
        <is>
          <t>Liều 13:43, quét lúc 15:53</t>
        </is>
      </c>
      <c r="F54" s="8" t="inlineStr">
        <is>
          <t>Từ lúc gửi push tới lúc server nhận checkpoint dưới 1 phút; lượt 2 ghi bo_lo và báo F</t>
        </is>
      </c>
      <c r="G54" s="8" t="inlineStr">
        <is>
          <t>Android khởi động app lúc 15:53:36 cho push (FlutterFirebaseMessagingReceiver), checkpoint 15:53:38 (≈ 2,4 s); lượt 2 ghi bo_lo, cảnh báo #5 tới máy người thân</t>
        </is>
      </c>
      <c r="H54" s="7" t="inlineStr">
        <is>
          <t>Pass</t>
        </is>
      </c>
      <c r="I54" s="8" t="inlineStr">
        <is>
          <t>AC39 · manual</t>
        </is>
      </c>
    </row>
    <row r="55" ht="74" customHeight="1">
      <c r="A55" s="7" t="inlineStr">
        <is>
          <t>TC-MISSVERIFY-47</t>
        </is>
      </c>
      <c r="B55" s="7" t="inlineStr">
        <is>
          <t>Mở cảnh báo trên máy người thân sau khi Worker báo bỏ lỡ (hồi quy)</t>
        </is>
      </c>
      <c r="C55" s="8" t="inlineStr">
        <is>
          <t>F liên kết + chia sẻ; Worker vừa tạo cảnh báo sau khi xác minh</t>
        </is>
      </c>
      <c r="D55" s="8" t="inlineStr">
        <is>
          <t>1. F gọi GET /notifications, GET /notifications/{id}, PATCH is_read = true bằng phiên thật
2. Kiểm access_logs của F
3. Trên máy thật: bấm thông báo, mở hộp thư</t>
        </is>
      </c>
      <c r="E55" s="8" t="inlineStr">
        <is>
          <t>Bearer của F</t>
        </is>
      </c>
      <c r="F55" s="8" t="inlineStr">
        <is>
          <t>Cả ba trả 200; access_logs của F chỉ có allowed; trên máy hiện chi tiết cảnh báo</t>
        </is>
      </c>
      <c r="G55" s="8" t="inlineStr">
        <is>
          <t>Test tích hợp pass; trên máy thật 4 cảnh báo đều mở được, đã đọc, access_logs của F 50 allowed</t>
        </is>
      </c>
      <c r="H55" s="7" t="inlineStr">
        <is>
          <t>Pass</t>
        </is>
      </c>
      <c r="I55" s="8" t="inlineStr">
        <is>
          <t>AC17 · Phát sinh 7 (lỗi High đã sửa ở implement) · test_family_reads_alert_after_scan__regression · manual</t>
        </is>
      </c>
    </row>
    <row r="56" ht="57.5" customHeight="1">
      <c r="A56" s="7" t="inlineStr">
        <is>
          <t>TC-MISSVERIFY-48</t>
        </is>
      </c>
      <c r="B56" s="7" t="inlineStr">
        <is>
          <t>Nhận push cảnh báo trên máy Android thật của người thân</t>
        </is>
      </c>
      <c r="C56" s="8" t="inlineStr">
        <is>
          <t>Máy LG Android đăng nhập F, quyền thông báo bật; FCM thật</t>
        </is>
      </c>
      <c r="D56" s="8" t="inlineStr">
        <is>
          <t>1. Tạo liều quá hạn, P đã đồng bộ sau hạn chót
2. Chạy lượt quét
3. Xem khay thông báo</t>
        </is>
      </c>
      <c r="E56" s="8" t="inlineStr">
        <is>
          <t>Liều 12:30, 13:36, 13:40</t>
        </is>
      </c>
      <c r="F56" s="8" t="inlineStr">
        <is>
          <t>Thông báo 'Bạn có cảnh báo mới về người thân', không có tên P hay tên thuốc</t>
        </is>
      </c>
      <c r="G56" s="8" t="inlineStr">
        <is>
          <t>FCM trả 200; thông báo family_alert_N hiện trong khay; người dùng xác nhận thấy và traffic hiện trên Firebase</t>
        </is>
      </c>
      <c r="H56" s="7" t="inlineStr">
        <is>
          <t>Pass</t>
        </is>
      </c>
      <c r="I56" s="8" t="inlineStr">
        <is>
          <t>AC43 · Q10 · manual</t>
        </is>
      </c>
    </row>
    <row r="57" ht="74" customHeight="1">
      <c r="A57" s="7" t="inlineStr">
        <is>
          <t>TC-MISSVERIFY-49</t>
        </is>
      </c>
      <c r="B57" s="7" t="inlineStr">
        <is>
          <t>In cấu hình Worker trên Render sau khi cập nhật môi trường</t>
        </is>
      </c>
      <c r="C57" s="8" t="inlineStr">
        <is>
          <t>Đã đặt FCM_CREDENTIALS_FILE, TICK_INTERVAL_SECONDS = 900, MISSED_DOSE_GRACE_MINUTES = 120 trên Render</t>
        </is>
      </c>
      <c r="D57" s="8" t="inlineStr">
        <is>
          <t>1. Chạy lệnh in cấu hình trong backend trên Render</t>
        </is>
      </c>
      <c r="E57" s="8" t="inlineStr">
        <is>
          <t>Biến môi trường Render</t>
        </is>
      </c>
      <c r="F57" s="8" t="inlineStr">
        <is>
          <t>In '900 120'; credential FCM nạp được</t>
        </is>
      </c>
      <c r="G57" s="8" t="inlineStr"/>
      <c r="H57" s="7" t="inlineStr">
        <is>
          <t>Pending</t>
        </is>
      </c>
      <c r="I57" s="8" t="inlineStr">
        <is>
          <t>AC48 · manual (cần người có quyền Render)</t>
        </is>
      </c>
    </row>
    <row r="58"/>
    <row r="59"/>
    <row r="60">
      <c r="G60" s="12" t="inlineStr">
        <is>
          <t>Pass</t>
        </is>
      </c>
      <c r="H60" s="13">
        <f>COUNTIF(H9:H57,"Pass")</f>
        <v/>
      </c>
    </row>
    <row r="61">
      <c r="G61" s="12" t="inlineStr">
        <is>
          <t>Fail</t>
        </is>
      </c>
      <c r="H61" s="13">
        <f>COUNTIF(H9:H57,"Fail")</f>
        <v/>
      </c>
    </row>
    <row r="62">
      <c r="G62" s="12" t="inlineStr">
        <is>
          <t>Pending</t>
        </is>
      </c>
      <c r="H62" s="13">
        <f>COUNTIF(H9:H57,"Pending")</f>
        <v/>
      </c>
    </row>
    <row r="63">
      <c r="G63" s="12" t="inlineStr">
        <is>
          <t>Total</t>
        </is>
      </c>
      <c r="H63" s="13">
        <f>SUM(H60:H62)</f>
        <v/>
      </c>
    </row>
  </sheetData>
  <autoFilter ref="A8:I57"/>
  <conditionalFormatting sqref="H9:H57">
    <cfRule type="cellIs" priority="1" operator="equal" dxfId="0">
      <formula>"Fail"</formula>
    </cfRule>
  </conditionalFormatting>
  <dataValidations count="1">
    <dataValidation sqref="H9:H57" showDropDown="0" showInputMessage="0" showErrorMessage="0" allowBlank="0" type="list">
      <formula1>"Pass,Fail,Pending"</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4"/>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s>
  <sheetData>
    <row r="1">
      <c r="A1" s="1" t="inlineStr">
        <is>
          <t>Project Name</t>
        </is>
      </c>
      <c r="B1" s="2" t="inlineStr">
        <is>
          <t>DrugTime</t>
        </is>
      </c>
    </row>
    <row r="2">
      <c r="A2" s="1" t="inlineStr">
        <is>
          <t>Module Name</t>
        </is>
      </c>
      <c r="B2" s="2" t="inlineStr">
        <is>
          <t>Checkpoint đồng bộ liều (SYNCCP)</t>
        </is>
      </c>
    </row>
    <row r="3">
      <c r="A3" s="1" t="inlineStr">
        <is>
          <t>Created By</t>
        </is>
      </c>
      <c r="B3" s="2" t="inlineStr">
        <is>
          <t>zannguyen</t>
        </is>
      </c>
    </row>
    <row r="4">
      <c r="A4" s="1" t="inlineStr">
        <is>
          <t>Creation Date</t>
        </is>
      </c>
      <c r="B4" s="21" t="n">
        <v>46322</v>
      </c>
    </row>
    <row r="5">
      <c r="A5" s="1" t="inlineStr">
        <is>
          <t>Reviewed By</t>
        </is>
      </c>
      <c r="B5" s="2" t="inlineStr"/>
    </row>
    <row r="6">
      <c r="A6" s="1" t="inlineStr">
        <is>
          <t>Reviewed Date</t>
        </is>
      </c>
      <c r="B6" s="2" t="n"/>
    </row>
    <row r="7">
      <c r="K7" s="4" t="inlineStr">
        <is>
          <t>Equivalence Partitioning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row>
    <row r="9" ht="57.5" customHeight="1">
      <c r="A9" s="7" t="inlineStr">
        <is>
          <t>TC-SYNCCP-01</t>
        </is>
      </c>
      <c r="B9" s="7" t="inlineStr">
        <is>
          <t>Ghi checkpoint bằng giờ server khi patient gọi</t>
        </is>
      </c>
      <c r="C9" s="8" t="inlineStr">
        <is>
          <t>Patient có consent health_data</t>
        </is>
      </c>
      <c r="D9" s="8" t="inlineStr">
        <is>
          <t>1. POST /doses/sync-checkpoints với body chứa giờ thiết bị giả
2. Đọc dose_sync_checkpoints</t>
        </is>
      </c>
      <c r="E9" s="8" t="inlineStr">
        <is>
          <t>body {"synced_at": "2099-01-01T00:00:00Z"}</t>
        </is>
      </c>
      <c r="F9" s="8" t="inlineStr">
        <is>
          <t>204, không body; synced_at nằm giữa giờ DB trước và sau request (không dùng giờ thiết bị)</t>
        </is>
      </c>
      <c r="G9" s="8" t="inlineStr">
        <is>
          <t>Đúng như mong đợi</t>
        </is>
      </c>
      <c r="H9" s="7" t="inlineStr">
        <is>
          <t>Pass</t>
        </is>
      </c>
      <c r="I9" s="8" t="inlineStr">
        <is>
          <t>AC13 · EP (1) · test_patient_records_server_time_204__AC13</t>
        </is>
      </c>
      <c r="K9" s="9" t="inlineStr">
        <is>
          <t>Người gọi</t>
        </is>
      </c>
      <c r="L9" s="10" t="inlineStr">
        <is>
          <t>patient đã xác thực, có consent health_data</t>
        </is>
      </c>
      <c r="M9" s="10" t="inlineStr">
        <is>
          <t>1</t>
        </is>
      </c>
      <c r="N9" s="10" t="inlineStr">
        <is>
          <t>chưa xác thực
tài khoản admin
đã rút consent health_data</t>
        </is>
      </c>
      <c r="O9" s="10" t="inlineStr">
        <is>
          <t>4
5
6</t>
        </is>
      </c>
    </row>
    <row r="10" ht="107" customHeight="1">
      <c r="A10" s="7" t="inlineStr">
        <is>
          <t>TC-SYNCCP-02</t>
        </is>
      </c>
      <c r="B10" s="7" t="inlineStr">
        <is>
          <t>Không lùi checkpoint khi gọi lại</t>
        </is>
      </c>
      <c r="C10" s="8" t="inlineStr">
        <is>
          <t>synced_at đã ở tương lai 1 ngày</t>
        </is>
      </c>
      <c r="D10" s="8" t="inlineStr">
        <is>
          <t>1. POST lại
2. Đọc synced_at</t>
        </is>
      </c>
      <c r="E10" s="8" t="inlineStr">
        <is>
          <t>synced_at = now + 1 ngày</t>
        </is>
      </c>
      <c r="F10" s="8" t="inlineStr">
        <is>
          <t>204; synced_at giữ nguyên</t>
        </is>
      </c>
      <c r="G10" s="8" t="inlineStr">
        <is>
          <t>Đúng như mong đợi</t>
        </is>
      </c>
      <c r="H10" s="7" t="inlineStr">
        <is>
          <t>Pass</t>
        </is>
      </c>
      <c r="I10" s="8" t="inlineStr">
        <is>
          <t>AC13 · test_never_moves_back__AC13</t>
        </is>
      </c>
      <c r="K10" s="9" t="inlineStr">
        <is>
          <t>Kết quả các mục trong hàng chờ (mobile)</t>
        </is>
      </c>
      <c r="L10" s="10" t="inlineStr">
        <is>
          <t>mọi mục 2xx hoặc lỗi cuối 404/409/422
hàng chờ trống</t>
        </is>
      </c>
      <c r="M10" s="10" t="inlineStr">
        <is>
          <t>2
3</t>
        </is>
      </c>
      <c r="N10" s="10" t="inlineStr">
        <is>
          <t>lỗi mạng
5xx
408
429
401
403</t>
        </is>
      </c>
      <c r="O10" s="10" t="inlineStr">
        <is>
          <t>7
8
9
10
11
12</t>
        </is>
      </c>
    </row>
    <row r="11" ht="41" customHeight="1">
      <c r="A11" s="7" t="inlineStr">
        <is>
          <t>TC-SYNCCP-03</t>
        </is>
      </c>
      <c r="B11" s="7" t="inlineStr">
        <is>
          <t>Từ chối gọi không có token</t>
        </is>
      </c>
      <c r="C11" s="8" t="inlineStr">
        <is>
          <t>Không đăng nhập</t>
        </is>
      </c>
      <c r="D11" s="8" t="inlineStr">
        <is>
          <t>1. POST /doses/sync-checkpoints không Authorization</t>
        </is>
      </c>
      <c r="E11" s="8" t="inlineStr">
        <is>
          <t>(blank)</t>
        </is>
      </c>
      <c r="F11" s="8" t="inlineStr">
        <is>
          <t>401 {"detail": "Missing bearer token"}</t>
        </is>
      </c>
      <c r="G11" s="8" t="inlineStr">
        <is>
          <t>Đúng như mong đợi</t>
        </is>
      </c>
      <c r="H11" s="7" t="inlineStr">
        <is>
          <t>Pass</t>
        </is>
      </c>
      <c r="I11" s="8" t="inlineStr">
        <is>
          <t>AC13 · EP (4) · test_unauthenticated_401__AC13</t>
        </is>
      </c>
    </row>
    <row r="12" ht="41" customHeight="1">
      <c r="A12" s="7" t="inlineStr">
        <is>
          <t>TC-SYNCCP-04</t>
        </is>
      </c>
      <c r="B12" s="7" t="inlineStr">
        <is>
          <t>Chỉ ghi checkpoint của chính người gọi</t>
        </is>
      </c>
      <c r="C12" s="8" t="inlineStr">
        <is>
          <t>F là người thân của P</t>
        </is>
      </c>
      <c r="D12" s="8" t="inlineStr">
        <is>
          <t>1. F gọi POST
2. Đọc checkpoint của F, P</t>
        </is>
      </c>
      <c r="E12" s="8" t="inlineStr">
        <is>
          <t>Bearer của F</t>
        </is>
      </c>
      <c r="F12" s="8" t="inlineStr">
        <is>
          <t>Chỉ F có checkpoint; P và người khác không</t>
        </is>
      </c>
      <c r="G12" s="8" t="inlineStr">
        <is>
          <t>Đúng như mong đợi</t>
        </is>
      </c>
      <c r="H12" s="7" t="inlineStr">
        <is>
          <t>Pass</t>
        </is>
      </c>
      <c r="I12" s="8" t="inlineStr">
        <is>
          <t>AC13 · test_only_callers_own_checkpoint__AC13</t>
        </is>
      </c>
    </row>
    <row r="13" ht="41" customHeight="1">
      <c r="A13" s="7" t="inlineStr">
        <is>
          <t>TC-SYNCCP-05</t>
        </is>
      </c>
      <c r="B13" s="7" t="inlineStr">
        <is>
          <t>Cập nhật một checkpoint khi patient có hai thiết bị</t>
        </is>
      </c>
      <c r="C13" s="8" t="inlineStr">
        <is>
          <t>Hai phiên mobile của cùng P</t>
        </is>
      </c>
      <c r="D13" s="8" t="inlineStr">
        <is>
          <t>1. Phiên 1 POST
2. Phiên 2 POST</t>
        </is>
      </c>
      <c r="E13" s="8" t="inlineStr">
        <is>
          <t>2 Bearer cùng user</t>
        </is>
      </c>
      <c r="F13" s="8" t="inlineStr">
        <is>
          <t>Cả hai 204; một dòng; synced_at lần sau ≥ lần trước</t>
        </is>
      </c>
      <c r="G13" s="8" t="inlineStr">
        <is>
          <t>Đúng như mong đợi</t>
        </is>
      </c>
      <c r="H13" s="7" t="inlineStr">
        <is>
          <t>Pass</t>
        </is>
      </c>
      <c r="I13" s="8" t="inlineStr">
        <is>
          <t>AC14 · test_two_devices_one_checkpoint__AC14</t>
        </is>
      </c>
    </row>
    <row r="14" ht="57.5" customHeight="1">
      <c r="A14" s="7" t="inlineStr">
        <is>
          <t>TC-SYNCCP-06</t>
        </is>
      </c>
      <c r="B14" s="7" t="inlineStr">
        <is>
          <t>Từ chối tài khoản admin và ghi denied</t>
        </is>
      </c>
      <c r="C14" s="8" t="inlineStr">
        <is>
          <t>Phiên admin_web</t>
        </is>
      </c>
      <c r="D14" s="8" t="inlineStr">
        <is>
          <t>1. Admin POST
2. Đọc access_logs</t>
        </is>
      </c>
      <c r="E14" s="8" t="inlineStr">
        <is>
          <t>Bearer admin</t>
        </is>
      </c>
      <c r="F14" s="8" t="inlineStr">
        <is>
          <t>403 {"detail": "khong_co_quyen"}; không checkpoint; access_logs (admin, denied, khong_co_quyen)</t>
        </is>
      </c>
      <c r="G14" s="8" t="inlineStr">
        <is>
          <t>Đúng như mong đợi</t>
        </is>
      </c>
      <c r="H14" s="7" t="inlineStr">
        <is>
          <t>Pass</t>
        </is>
      </c>
      <c r="I14" s="8" t="inlineStr">
        <is>
          <t>EP (5) · test_admin_403_khong_co_quyen_logs_denied</t>
        </is>
      </c>
    </row>
    <row r="15" ht="57.5" customHeight="1">
      <c r="A15" s="7" t="inlineStr">
        <is>
          <t>TC-SYNCCP-07</t>
        </is>
      </c>
      <c r="B15" s="7" t="inlineStr">
        <is>
          <t>Từ chối patient đã rút consent health_data</t>
        </is>
      </c>
      <c r="C15" s="8" t="inlineStr">
        <is>
          <t>consent health_data = thu_hoi</t>
        </is>
      </c>
      <c r="D15" s="8" t="inlineStr">
        <is>
          <t>1. POST
2. Đọc checkpoint, access_logs</t>
        </is>
      </c>
      <c r="E15" s="8" t="inlineStr">
        <is>
          <t>Bearer của P</t>
        </is>
      </c>
      <c r="F15" s="8" t="inlineStr">
        <is>
          <t>403 {"detail": "consent_revoked"}; không checkpoint; không dòng access_logs (chính chủ, audit_self = false theo contract)</t>
        </is>
      </c>
      <c r="G15" s="8" t="inlineStr">
        <is>
          <t>Đúng như mong đợi</t>
        </is>
      </c>
      <c r="H15" s="7" t="inlineStr">
        <is>
          <t>Pass</t>
        </is>
      </c>
      <c r="I15" s="8" t="inlineStr">
        <is>
          <t>EP (6) · test_consent_revoked_403_no_record</t>
        </is>
      </c>
    </row>
    <row r="16" ht="41" customHeight="1">
      <c r="A16" s="7" t="inlineStr">
        <is>
          <t>TC-SYNCCP-08</t>
        </is>
      </c>
      <c r="B16" s="7" t="inlineStr">
        <is>
          <t>Không ghi access_logs khi patient tự ghi checkpoint</t>
        </is>
      </c>
      <c r="C16" s="8" t="inlineStr">
        <is>
          <t>Patient hợp lệ</t>
        </is>
      </c>
      <c r="D16" s="8" t="inlineStr">
        <is>
          <t>1. POST
2. Đọc access_logs của P</t>
        </is>
      </c>
      <c r="E16" s="8" t="inlineStr">
        <is>
          <t>Bearer của P</t>
        </is>
      </c>
      <c r="F16" s="8" t="inlineStr">
        <is>
          <t>204; access_logs của P trống</t>
        </is>
      </c>
      <c r="G16" s="8" t="inlineStr">
        <is>
          <t>Đúng như mong đợi</t>
        </is>
      </c>
      <c r="H16" s="7" t="inlineStr">
        <is>
          <t>Pass</t>
        </is>
      </c>
      <c r="I16" s="8" t="inlineStr">
        <is>
          <t>test_success_writes_no_access_log</t>
        </is>
      </c>
    </row>
    <row r="17" ht="41" customHeight="1">
      <c r="A17" s="7" t="inlineStr">
        <is>
          <t>TC-SYNCCP-09</t>
        </is>
      </c>
      <c r="B17" s="7" t="inlineStr">
        <is>
          <t>Trả 503 và không ghi gì khi DB lỗi</t>
        </is>
      </c>
      <c r="C17" s="8" t="inlineStr">
        <is>
          <t>Giả lập lỗi khi ghi checkpoint</t>
        </is>
      </c>
      <c r="D17" s="8" t="inlineStr">
        <is>
          <t>1. POST</t>
        </is>
      </c>
      <c r="E17" s="8" t="inlineStr">
        <is>
          <t>RuntimeError giả lập</t>
        </is>
      </c>
      <c r="F17" s="8" t="inlineStr">
        <is>
          <t>503 {"detail": "service_unavailable"}; không checkpoint</t>
        </is>
      </c>
      <c r="G17" s="8" t="inlineStr">
        <is>
          <t>Đúng như mong đợi</t>
        </is>
      </c>
      <c r="H17" s="7" t="inlineStr">
        <is>
          <t>Pass</t>
        </is>
      </c>
      <c r="I17" s="8" t="inlineStr">
        <is>
          <t>test_db_failure_503_records_nothing</t>
        </is>
      </c>
    </row>
    <row r="18" ht="57.5" customHeight="1">
      <c r="A18" s="7" t="inlineStr">
        <is>
          <t>TC-SYNCCP-10</t>
        </is>
      </c>
      <c r="B18" s="7" t="inlineStr">
        <is>
          <t>Khớp contract của endpoint checkpoint</t>
        </is>
      </c>
      <c r="C18" s="8" t="inlineStr">
        <is>
          <t>api_contract/openapi.json</t>
        </is>
      </c>
      <c r="D18" s="8" t="inlineStr">
        <is>
          <t>1. Đối chiếu operationId, response, không requestBody
2. Gọi thành công và không token</t>
        </is>
      </c>
      <c r="E18" s="8" t="inlineStr">
        <is>
          <t>recordDoseSyncCheckpoint</t>
        </is>
      </c>
      <c r="F18" s="8" t="inlineStr">
        <is>
          <t>Response 204/401/403/503; 204 không body; 401 khi không token</t>
        </is>
      </c>
      <c r="G18" s="8" t="inlineStr">
        <is>
          <t>Đúng như mong đợi</t>
        </is>
      </c>
      <c r="H18" s="7" t="inlineStr">
        <is>
          <t>Pass</t>
        </is>
      </c>
      <c r="I18" s="8" t="inlineStr">
        <is>
          <t>AC41 · test_response_matches_contract__AC41</t>
        </is>
      </c>
    </row>
    <row r="19" ht="41" customHeight="1">
      <c r="A19" s="7" t="inlineStr">
        <is>
          <t>TC-SYNCCP-11</t>
        </is>
      </c>
      <c r="B19" s="7" t="inlineStr">
        <is>
          <t>Xóa checkpoint và hàng chờ xác minh khi xóa dữ liệu patient</t>
        </is>
      </c>
      <c r="C19" s="8" t="inlineStr">
        <is>
          <t>P có checkpoint và một dòng hàng chờ</t>
        </is>
      </c>
      <c r="D19" s="8" t="inlineStr">
        <is>
          <t>1. Chạy adherence.eraser bằng worker_role</t>
        </is>
      </c>
      <c r="E19" s="8" t="inlineStr">
        <is>
          <t>QD-35</t>
        </is>
      </c>
      <c r="F19" s="8" t="inlineStr">
        <is>
          <t>Không còn checkpoint và hàng chờ của P</t>
        </is>
      </c>
      <c r="G19" s="8" t="inlineStr">
        <is>
          <t>Đúng như mong đợi</t>
        </is>
      </c>
      <c r="H19" s="7" t="inlineStr">
        <is>
          <t>Pass</t>
        </is>
      </c>
      <c r="I19" s="8" t="inlineStr">
        <is>
          <t>AC16 · test_erase_removes_checkpoint_and_pending__AC16</t>
        </is>
      </c>
    </row>
    <row r="20" ht="74" customHeight="1">
      <c r="A20" s="7" t="inlineStr">
        <is>
          <t>TC-SYNCCP-12</t>
        </is>
      </c>
      <c r="B20" s="7" t="inlineStr">
        <is>
          <t>Cấp quyền tối thiểu cho api_role và worker_role trên hai bảng mới</t>
        </is>
      </c>
      <c r="C20" s="8" t="inlineStr">
        <is>
          <t>DB local sau migration</t>
        </is>
      </c>
      <c r="D20" s="8" t="inlineStr">
        <is>
          <t>1. Thử SELECT/INSERT/UPDATE/DELETE bằng từng role (rollback)</t>
        </is>
      </c>
      <c r="E20" s="8" t="inlineStr">
        <is>
          <t>dose_sync_checkpoints, missed_dose_pending_verifications</t>
        </is>
      </c>
      <c r="F20" s="8" t="inlineStr">
        <is>
          <t>api_role: checkpoint SELECT/INSERT/UPDATE, không DELETE; hàng chờ không quyền gì. worker_role: checkpoint SELECT/DELETE; hàng chờ SELECT/INSERT/DELETE, không UPDATE</t>
        </is>
      </c>
      <c r="G20" s="8" t="inlineStr">
        <is>
          <t>Đúng như mong đợi</t>
        </is>
      </c>
      <c r="H20" s="7" t="inlineStr">
        <is>
          <t>Pass</t>
        </is>
      </c>
      <c r="I20" s="8" t="inlineStr">
        <is>
          <t>P27 · test_role_grants_are_minimal[api_role], test_role_grants_are_minimal[worker_role]</t>
        </is>
      </c>
    </row>
    <row r="21" ht="74" customHeight="1">
      <c r="A21" s="7" t="inlineStr">
        <is>
          <t>TC-SYNCCP-13</t>
        </is>
      </c>
      <c r="B21" s="7" t="inlineStr">
        <is>
          <t>Bật RLS và chặn anon, authenticated, service_role ghi</t>
        </is>
      </c>
      <c r="C21" s="8" t="inlineStr">
        <is>
          <t>DB local</t>
        </is>
      </c>
      <c r="D21" s="8" t="inlineStr">
        <is>
          <t>1. Đọc relrowsecurity, has_table_privilege, pg_policies</t>
        </is>
      </c>
      <c r="E21" s="8" t="inlineStr">
        <is>
          <t>anon, authenticated, service_role</t>
        </is>
      </c>
      <c r="F21" s="8" t="inlineStr">
        <is>
          <t>RLS bật; anon/authenticated không quyền nào; service_role không INSERT/UPDATE/DELETE/TRUNCATE; policy chỉ cho api_role/worker_role</t>
        </is>
      </c>
      <c r="G21" s="8" t="inlineStr">
        <is>
          <t>Đúng như mong đợi</t>
        </is>
      </c>
      <c r="H21" s="7" t="inlineStr">
        <is>
          <t>Pass</t>
        </is>
      </c>
      <c r="I21" s="8" t="inlineStr">
        <is>
          <t>P27 · test_rls_on_and_client_roles_have_no_access</t>
        </is>
      </c>
    </row>
    <row r="22" ht="74" customHeight="1">
      <c r="A22" s="7" t="inlineStr">
        <is>
          <t>TC-SYNCCP-14</t>
        </is>
      </c>
      <c r="B22" s="7" t="inlineStr">
        <is>
          <t>Chặn dòng trùng, khóa ngoại sai và giá trị rỗng</t>
        </is>
      </c>
      <c r="C22" s="8" t="inlineStr">
        <is>
          <t>DB local</t>
        </is>
      </c>
      <c r="D22" s="8" t="inlineStr">
        <is>
          <t>1. Chèn trùng PK hàng chờ
2. Chèn user/lịch không tồn tại
3. Chèn synced_at NULL</t>
        </is>
      </c>
      <c r="E22" s="8" t="inlineStr">
        <is>
          <t>uuid ngẫu nhiên, schedule_id = -1</t>
        </is>
      </c>
      <c r="F22" s="8" t="inlineStr">
        <is>
          <t>IntegrityError duplicate key / foreign key / null value</t>
        </is>
      </c>
      <c r="G22" s="8" t="inlineStr">
        <is>
          <t>Đúng như mong đợi</t>
        </is>
      </c>
      <c r="H22" s="7" t="inlineStr">
        <is>
          <t>Pass</t>
        </is>
      </c>
      <c r="I22" s="8" t="inlineStr">
        <is>
          <t>P27 · test_pending_primary_key_blocks_duplicate, test_foreign_keys_reject_unknown_user_and_schedule, test_not_null_columns</t>
        </is>
      </c>
    </row>
    <row r="23" ht="74" customHeight="1">
      <c r="A23" s="7" t="inlineStr">
        <is>
          <t>TC-SYNCCP-15</t>
        </is>
      </c>
      <c r="B23" s="7" t="inlineStr">
        <is>
          <t>Gửi checkpoint đúng một lần sau khi mọi mục có kết quả cuối (mobile)</t>
        </is>
      </c>
      <c r="C23" s="8" t="inlineStr">
        <is>
          <t>Flutter unit test; hàng chờ 3 mục</t>
        </is>
      </c>
      <c r="D23" s="8" t="inlineStr">
        <is>
          <t>1. Đồng bộ với các mục 2xx
2. Lặp với mục lỗi 404, 409, 422</t>
        </is>
      </c>
      <c r="E23" s="8" t="inlineStr">
        <is>
          <t>3 mục</t>
        </is>
      </c>
      <c r="F23" s="8" t="inlineStr">
        <is>
          <t>Một lần POST /doses/sync-checkpoints sau cùng; 404/409/422 tính là kết quả cuối</t>
        </is>
      </c>
      <c r="G23" s="8" t="inlineStr">
        <is>
          <t>Đúng như mong đợi</t>
        </is>
      </c>
      <c r="H23" s="7" t="inlineStr">
        <is>
          <t>Pass</t>
        </is>
      </c>
      <c r="I23" s="8" t="inlineStr">
        <is>
          <t>AC15 · EP (2) · 'checkpoint after all final results', '404/409/422 item failure counts as final'</t>
        </is>
      </c>
    </row>
    <row r="24" ht="57.5" customHeight="1">
      <c r="A24" s="7" t="inlineStr">
        <is>
          <t>TC-SYNCCP-16</t>
        </is>
      </c>
      <c r="B24" s="7" t="inlineStr">
        <is>
          <t>Không gửi checkpoint khi còn mục lỗi chưa phải kết quả cuối (mobile)</t>
        </is>
      </c>
      <c r="C24" s="8" t="inlineStr">
        <is>
          <t>Flutter unit test</t>
        </is>
      </c>
      <c r="D24" s="8" t="inlineStr">
        <is>
          <t>1. Đồng bộ với một mục lỗi mạng / 500 / 408 / 429 / 401 / 403</t>
        </is>
      </c>
      <c r="E24" s="8" t="inlineStr">
        <is>
          <t>6 loại lỗi</t>
        </is>
      </c>
      <c r="F24" s="8" t="inlineStr">
        <is>
          <t>Không gọi checkpoint</t>
        </is>
      </c>
      <c r="G24" s="8" t="inlineStr">
        <is>
          <t>Đúng như mong đợi</t>
        </is>
      </c>
      <c r="H24" s="7" t="inlineStr">
        <is>
          <t>Pass</t>
        </is>
      </c>
      <c r="I24" s="8" t="inlineStr">
        <is>
          <t>AC15 · EP (7,8,9,10,11,12) · 'no checkpoint on network/500/408/429/401/403 failure'</t>
        </is>
      </c>
    </row>
    <row r="25" ht="90.5" customHeight="1">
      <c r="A25" s="7" t="inlineStr">
        <is>
          <t>TC-SYNCCP-17</t>
        </is>
      </c>
      <c r="B25" s="7" t="inlineStr">
        <is>
          <t>Gửi checkpoint khi hàng chờ trống, khi có mạng lại và mỗi 15 phút (mobile)</t>
        </is>
      </c>
      <c r="C25" s="8" t="inlineStr">
        <is>
          <t>Flutter unit test</t>
        </is>
      </c>
      <c r="D25" s="8" t="inlineStr">
        <is>
          <t>1. start() và syncNow() với hàng chờ trống
2. Offline rồi có mạng
3. Timer 15'</t>
        </is>
      </c>
      <c r="E25" s="8" t="inlineStr">
        <is>
          <t>hàng chờ trống</t>
        </is>
      </c>
      <c r="F25" s="8" t="inlineStr">
        <is>
          <t>Có checkpoint mỗi lần; checkpoint lỗi được thử lại ở lần sau</t>
        </is>
      </c>
      <c r="G25" s="8" t="inlineStr">
        <is>
          <t>Đúng như mong đợi</t>
        </is>
      </c>
      <c r="H25" s="7" t="inlineStr">
        <is>
          <t>Pass</t>
        </is>
      </c>
      <c r="I25" s="8" t="inlineStr">
        <is>
          <t>AC15 · EP (3) · 'checkpoint when outbox empty, on start and syncNow', 'periodic 15 minutes while app is open', 'checkpoint when network returns'</t>
        </is>
      </c>
    </row>
    <row r="26" ht="74" customHeight="1">
      <c r="A26" s="7" t="inlineStr">
        <is>
          <t>TC-SYNCCP-18</t>
        </is>
      </c>
      <c r="B26" s="7" t="inlineStr">
        <is>
          <t>Đồng bộ nền khi nhận sync_request mà không đụng dữ liệu khác (mobile)</t>
        </is>
      </c>
      <c r="C26" s="8" t="inlineStr">
        <is>
          <t>Flutter unit test</t>
        </is>
      </c>
      <c r="D26" s="8" t="inlineStr">
        <is>
          <t>1. Không có phiên
2. Phiên hết hạn
3. Phiên hợp lệ
4. Server trả 401</t>
        </is>
      </c>
      <c r="E26" s="8" t="inlineStr">
        <is>
          <t>4 trạng thái phiên</t>
        </is>
      </c>
      <c r="F26" s="8" t="inlineStr">
        <is>
          <t>Không phiên/hết hạn: không request; hợp lệ: sync rồi checkpoint; 401: dừng, không checkpoint, không xóa phiên</t>
        </is>
      </c>
      <c r="G26" s="8" t="inlineStr">
        <is>
          <t>Đúng như mong đợi</t>
        </is>
      </c>
      <c r="H26" s="7" t="inlineStr">
        <is>
          <t>Pass</t>
        </is>
      </c>
      <c r="I26" s="8" t="inlineStr">
        <is>
          <t>AC38 · background_sync_test.dart (4 test)</t>
        </is>
      </c>
    </row>
    <row r="27" ht="90.5" customHeight="1">
      <c r="A27" s="7" t="inlineStr">
        <is>
          <t>TC-SYNCCP-19</t>
        </is>
      </c>
      <c r="B27" s="7" t="inlineStr">
        <is>
          <t>Bỏ qua sync_request trong luồng cảnh báo người thân khi app đang mở (mobile)</t>
        </is>
      </c>
      <c r="C27" s="8" t="inlineStr">
        <is>
          <t>Flutter unit test</t>
        </is>
      </c>
      <c r="D27" s="8" t="inlineStr">
        <is>
          <t>1. Nhận {type: sync_request} foreground
2. Nhận push người thân thường</t>
        </is>
      </c>
      <c r="E27" s="8" t="inlineStr">
        <is>
          <t>{"type": "sync_request"}</t>
        </is>
      </c>
      <c r="F27" s="8" t="inlineStr">
        <is>
          <t>Gọi onSyncRequest, không hiện thông báo, không mở hộp thư; push người thân xử lý như cũ</t>
        </is>
      </c>
      <c r="G27" s="8" t="inlineStr">
        <is>
          <t>Đúng như mong đợi</t>
        </is>
      </c>
      <c r="H27" s="7" t="inlineStr">
        <is>
          <t>Pass</t>
        </is>
      </c>
      <c r="I27" s="8" t="inlineStr">
        <is>
          <t>AC38 · 'sync_request ignored by family flow (foreground) and triggers sync', 'family push unchanged when onSyncRequest is set'</t>
        </is>
      </c>
    </row>
    <row r="28" ht="57.5" customHeight="1">
      <c r="A28" s="7" t="inlineStr">
        <is>
          <t>TC-SYNCCP-20</t>
        </is>
      </c>
      <c r="B28" s="7" t="inlineStr">
        <is>
          <t>Gửi checkpoint khi quay lại app và khi nhận push gõ cửa trên máy thật</t>
        </is>
      </c>
      <c r="C28" s="8" t="inlineStr">
        <is>
          <t>Emulator đăng nhập patient; backend local</t>
        </is>
      </c>
      <c r="D28" s="8" t="inlineStr">
        <is>
          <t>1. Đưa app xuống nền rồi mở lại
2. Backend gửi sync_request khi app chạy nền
3. Đọc dose_sync_checkpoints</t>
        </is>
      </c>
      <c r="E28" s="8" t="inlineStr">
        <is>
          <t>15:40:22 push gõ cửa</t>
        </is>
      </c>
      <c r="F28" s="8" t="inlineStr">
        <is>
          <t>Checkpoint mới ngay sau khi quay lại app / nhận push</t>
        </is>
      </c>
      <c r="G28" s="8" t="inlineStr">
        <is>
          <t>Push nhận 15:40:22.444, checkpoint 15:40:23</t>
        </is>
      </c>
      <c r="H28" s="7" t="inlineStr">
        <is>
          <t>Pass</t>
        </is>
      </c>
      <c r="I28" s="8" t="inlineStr">
        <is>
          <t>AC15 · AC38 · manual</t>
        </is>
      </c>
    </row>
    <row r="29"/>
    <row r="30"/>
    <row r="31">
      <c r="G31" s="12" t="inlineStr">
        <is>
          <t>Pass</t>
        </is>
      </c>
      <c r="H31" s="13">
        <f>COUNTIF(H9:H28,"Pass")</f>
        <v/>
      </c>
    </row>
    <row r="32">
      <c r="G32" s="12" t="inlineStr">
        <is>
          <t>Fail</t>
        </is>
      </c>
      <c r="H32" s="13">
        <f>COUNTIF(H9:H28,"Fail")</f>
        <v/>
      </c>
    </row>
    <row r="33">
      <c r="G33" s="12" t="inlineStr">
        <is>
          <t>Pending</t>
        </is>
      </c>
      <c r="H33" s="13">
        <f>COUNTIF(H9:H28,"Pending")</f>
        <v/>
      </c>
    </row>
    <row r="34">
      <c r="G34" s="12" t="inlineStr">
        <is>
          <t>Total</t>
        </is>
      </c>
      <c r="H34" s="13">
        <f>SUM(H31:H33)</f>
        <v/>
      </c>
    </row>
  </sheetData>
  <autoFilter ref="A8:I28"/>
  <conditionalFormatting sqref="H9:H28">
    <cfRule type="cellIs" priority="1" operator="equal" dxfId="0">
      <formula>"Fail"</formula>
    </cfRule>
  </conditionalFormatting>
  <dataValidations count="1">
    <dataValidation sqref="H9:H28" showDropDown="0" showInputMessage="0" showErrorMessage="0" allowBlank="0" type="list">
      <formula1>"Pass,Fail,Pending"</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4"/>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s>
  <sheetData>
    <row r="1">
      <c r="A1" s="1" t="inlineStr">
        <is>
          <t>Project Name</t>
        </is>
      </c>
      <c r="B1" s="2" t="inlineStr">
        <is>
          <t>DrugTime</t>
        </is>
      </c>
    </row>
    <row r="2">
      <c r="A2" s="1" t="inlineStr">
        <is>
          <t>Module Name</t>
        </is>
      </c>
      <c r="B2" s="2" t="inlineStr">
        <is>
          <t>Lịch sử: liều chưa xác minh (UNVERIFIED)</t>
        </is>
      </c>
    </row>
    <row r="3">
      <c r="A3" s="1" t="inlineStr">
        <is>
          <t>Created By</t>
        </is>
      </c>
      <c r="B3" s="2" t="inlineStr">
        <is>
          <t>zannguyen</t>
        </is>
      </c>
    </row>
    <row r="4">
      <c r="A4" s="1" t="inlineStr">
        <is>
          <t>Creation Date</t>
        </is>
      </c>
      <c r="B4" s="21" t="n">
        <v>46322</v>
      </c>
    </row>
    <row r="5">
      <c r="A5" s="1" t="inlineStr">
        <is>
          <t>Reviewed By</t>
        </is>
      </c>
      <c r="B5" s="2" t="inlineStr"/>
    </row>
    <row r="6">
      <c r="A6" s="1" t="inlineStr">
        <is>
          <t>Reviewed Date</t>
        </is>
      </c>
      <c r="B6" s="2" t="n"/>
    </row>
    <row r="7">
      <c r="K7" s="4" t="inlineStr">
        <is>
          <t>Equivalence Partitioning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row>
    <row r="9" ht="107" customHeight="1">
      <c r="A9" s="7" t="inlineStr">
        <is>
          <t>TC-UNVERIFIED-01</t>
        </is>
      </c>
      <c r="B9" s="7" t="inlineStr">
        <is>
          <t>Hiện chua_xac_minh cho patient và người thân khi chưa đồng bộ</t>
        </is>
      </c>
      <c r="C9" s="8" t="inlineStr">
        <is>
          <t>Liều 08:00 chưa có dòng, đã qua hạn chót; liều 07:00 da_uong; F đủ quyền; P chưa có checkpoint</t>
        </is>
      </c>
      <c r="D9" s="8" t="inlineStr">
        <is>
          <t>1. Patient GET /adherence ngày đó
2. F GET /adherence?patient_id=P
3. Đặt cp = 09:59:59 rồi lặp lại</t>
        </is>
      </c>
      <c r="E9" s="8" t="inlineStr">
        <is>
          <t>now = 12:00</t>
        </is>
      </c>
      <c r="F9" s="8" t="inlineStr">
        <is>
          <t>Liều 08:00: chua_xac_minh, inferred, taken_at null; unverified = 1, pending = 0, counted = 1, missed = 0, adherence_rate = 100; patient_last_synced_at = null rồi '2026-10-19T09:59:59+07:00'; access_logs có allowed cho patient và family</t>
        </is>
      </c>
      <c r="G9" s="8" t="inlineStr">
        <is>
          <t>Đúng như mong đợi</t>
        </is>
      </c>
      <c r="H9" s="7" t="inlineStr">
        <is>
          <t>Pass</t>
        </is>
      </c>
      <c r="I9" s="8" t="inlineStr">
        <is>
          <t>AC40 · EP (4,5) · test_unverified_and_last_synced__AC40</t>
        </is>
      </c>
      <c r="K9" s="9" t="inlineStr">
        <is>
          <t>Checkpoint so với hạn chót của liều chưa có dòng</t>
        </is>
      </c>
      <c r="L9" s="10" t="inlineStr">
        <is>
          <t>cp ≥ D</t>
        </is>
      </c>
      <c r="M9" s="10" t="inlineStr">
        <is>
          <t>1</t>
        </is>
      </c>
      <c r="N9" s="10" t="inlineStr">
        <is>
          <t>cp &lt; D
chưa có checkpoint</t>
        </is>
      </c>
      <c r="O9" s="10" t="inlineStr">
        <is>
          <t>4
5</t>
        </is>
      </c>
    </row>
    <row r="10" ht="74" customHeight="1">
      <c r="A10" s="7" t="inlineStr">
        <is>
          <t>TC-UNVERIFIED-02</t>
        </is>
      </c>
      <c r="B10" s="7" t="inlineStr">
        <is>
          <t>Suy ra bo_lo khi checkpoint đúng bằng hạn chót</t>
        </is>
      </c>
      <c r="C10" s="8" t="inlineStr">
        <is>
          <t>Liều 08:00 chưa có dòng; nhắc bật</t>
        </is>
      </c>
      <c r="D10" s="8" t="inlineStr">
        <is>
          <t>1. Đặt cp = 10:00
2. GET /adherence</t>
        </is>
      </c>
      <c r="E10" s="8" t="inlineStr">
        <is>
          <t>cp = D</t>
        </is>
      </c>
      <c r="F10" s="8" t="inlineStr">
        <is>
          <t>bo_lo, inferred; unverified = 0; patient_last_synced_at = '2026-10-19T10:00:00+07:00'; không ghi DB</t>
        </is>
      </c>
      <c r="G10" s="8" t="inlineStr">
        <is>
          <t>Đúng như mong đợi</t>
        </is>
      </c>
      <c r="H10" s="7" t="inlineStr">
        <is>
          <t>Pass</t>
        </is>
      </c>
      <c r="I10" s="8" t="inlineStr">
        <is>
          <t>AC40 · EP (1) · BVA (min) · test_inferred_missed_after_checkpoint__AC40[True]</t>
        </is>
      </c>
      <c r="K10" s="9" t="inlineStr">
        <is>
          <t>Phản hồi API ở mobile</t>
        </is>
      </c>
      <c r="L10" s="10" t="inlineStr">
        <is>
          <t>có chua_xac_minh, taken_at null, inferred, tổng khớp
không có trường unverified (backend cũ)</t>
        </is>
      </c>
      <c r="M10" s="10" t="inlineStr">
        <is>
          <t>2
3</t>
        </is>
      </c>
      <c r="N10" s="10" t="inlineStr">
        <is>
          <t>chua_xac_minh có taken_at
chua_xac_minh với status_source = recorded
tổng không khớp</t>
        </is>
      </c>
      <c r="O10" s="10" t="inlineStr">
        <is>
          <t>6
7
8</t>
        </is>
      </c>
    </row>
    <row r="11" ht="41" customHeight="1">
      <c r="A11" s="7" t="inlineStr">
        <is>
          <t>TC-UNVERIFIED-03</t>
        </is>
      </c>
      <c r="B11" s="7" t="inlineStr">
        <is>
          <t>Suy ra bo_lo cho lịch tắt nhắc khi đã đồng bộ</t>
        </is>
      </c>
      <c r="C11" s="8" t="inlineStr">
        <is>
          <t>Lịch tắt nhắc; cp = D</t>
        </is>
      </c>
      <c r="D11" s="8" t="inlineStr">
        <is>
          <t>1. GET /adherence</t>
        </is>
      </c>
      <c r="E11" s="8" t="inlineStr">
        <is>
          <t>reminder_enabled = false</t>
        </is>
      </c>
      <c r="F11" s="8" t="inlineStr">
        <is>
          <t>bo_lo, inferred</t>
        </is>
      </c>
      <c r="G11" s="8" t="inlineStr">
        <is>
          <t>Đúng như mong đợi</t>
        </is>
      </c>
      <c r="H11" s="7" t="inlineStr">
        <is>
          <t>Pass</t>
        </is>
      </c>
      <c r="I11" s="8" t="inlineStr">
        <is>
          <t>AC40 · test_inferred_missed_after_checkpoint__AC40[False]</t>
        </is>
      </c>
    </row>
    <row r="12" ht="41" customHeight="1">
      <c r="A12" s="7" t="inlineStr">
        <is>
          <t>TC-UNVERIFIED-04</t>
        </is>
      </c>
      <c r="B12" s="7" t="inlineStr">
        <is>
          <t>Hiện bo_lo recorded sau khi Worker ghi</t>
        </is>
      </c>
      <c r="C12" s="8" t="inlineStr">
        <is>
          <t>Liều đang chua_xac_minh</t>
        </is>
      </c>
      <c r="D12" s="8" t="inlineStr">
        <is>
          <t>1. Worker ghi bo_lo
2. GET /adherence</t>
        </is>
      </c>
      <c r="E12" s="8" t="inlineStr">
        <is>
          <t>dose_logs bo_lo</t>
        </is>
      </c>
      <c r="F12" s="8" t="inlineStr">
        <is>
          <t>bo_lo, recorded</t>
        </is>
      </c>
      <c r="G12" s="8" t="inlineStr">
        <is>
          <t>Đúng như mong đợi</t>
        </is>
      </c>
      <c r="H12" s="7" t="inlineStr">
        <is>
          <t>Pass</t>
        </is>
      </c>
      <c r="I12" s="8" t="inlineStr">
        <is>
          <t>AC40 · test_recorded_after_worker__AC40</t>
        </is>
      </c>
    </row>
    <row r="13" ht="90.5" customHeight="1">
      <c r="A13" s="7" t="inlineStr">
        <is>
          <t>TC-UNVERIFIED-05</t>
        </is>
      </c>
      <c r="B13" s="7" t="inlineStr">
        <is>
          <t>Coi checkpoint sớm hơn hạn chót 1 micro giây là chưa xác minh (domain)</t>
        </is>
      </c>
      <c r="C13" s="8" t="inlineStr">
        <is>
          <t>Unit test</t>
        </is>
      </c>
      <c r="D13" s="8" t="inlineStr">
        <is>
          <t>1. dose_view với synced_at = D − 1 µs và None</t>
        </is>
      </c>
      <c r="E13" s="8" t="inlineStr">
        <is>
          <t>synced_at = D − 1 µs</t>
        </is>
      </c>
      <c r="F13" s="8" t="inlineStr">
        <is>
          <t>chua_xac_minh; với cp = D là bo_lo inferred</t>
        </is>
      </c>
      <c r="G13" s="8" t="inlineStr">
        <is>
          <t>Đúng như mong đợi</t>
        </is>
      </c>
      <c r="H13" s="7" t="inlineStr">
        <is>
          <t>Pass</t>
        </is>
      </c>
      <c r="I13" s="8" t="inlineStr">
        <is>
          <t>AC40 · BVA (min-1) · test_unverified_when_checkpoint_before_deadline__AC40, test_inferred_missed_when_checkpoint_at_deadline__AC40</t>
        </is>
      </c>
    </row>
    <row r="14" ht="74" customHeight="1">
      <c r="A14" s="7" t="inlineStr">
        <is>
          <t>TC-UNVERIFIED-06</t>
        </is>
      </c>
      <c r="B14" s="7" t="inlineStr">
        <is>
          <t>Khớp contract với biến thể chua_xac_minh</t>
        </is>
      </c>
      <c r="C14" s="8" t="inlineStr">
        <is>
          <t>Unit test contract</t>
        </is>
      </c>
      <c r="D14" s="8" t="inlineStr">
        <is>
          <t>1. Kiểm mọi ví dụ trong openapi.json
2. Gửi chua_xac_minh có taken_at hoặc recorded</t>
        </is>
      </c>
      <c r="E14" s="8" t="inlineStr">
        <is>
          <t>AdherenceDose, AdherenceSummary</t>
        </is>
      </c>
      <c r="F14" s="8" t="inlineStr">
        <is>
          <t>Ví dụ hợp lệ; tổng gồm unverified; patient_last_synced_at bắt buộc, giờ VN; biến thể sai bị từ chối</t>
        </is>
      </c>
      <c r="G14" s="8" t="inlineStr">
        <is>
          <t>Đúng như mong đợi</t>
        </is>
      </c>
      <c r="H14" s="7" t="inlineStr">
        <is>
          <t>Pass</t>
        </is>
      </c>
      <c r="I14" s="8" t="inlineStr">
        <is>
          <t>AC41 · test_unverified_variant_validates_on_wire__AC40_AC41, test_reject_unverified_with_taken_at_or_recorded__AC41</t>
        </is>
      </c>
    </row>
    <row r="15" ht="57.5" customHeight="1">
      <c r="A15" s="7" t="inlineStr">
        <is>
          <t>TC-UNVERIFIED-07</t>
        </is>
      </c>
      <c r="B15" s="7" t="inlineStr">
        <is>
          <t>Đọc phản hồi có chua_xac_minh ở hai màn lịch sử (mobile)</t>
        </is>
      </c>
      <c r="C15" s="8" t="inlineStr">
        <is>
          <t>Flutter unit test mapper 3.24 và 3.02</t>
        </is>
      </c>
      <c r="D15" s="8" t="inlineStr">
        <is>
          <t>1. Parse JSON có một liều chua_xac_minh, unverified = 1</t>
        </is>
      </c>
      <c r="E15" s="8" t="inlineStr">
        <is>
          <t>status = chua_xac_minh</t>
        </is>
      </c>
      <c r="F15" s="8" t="inlineStr">
        <is>
          <t>Liều có trạng thái unverified, nhãn 'Chưa xác minh', các liều khác như cũ, tổng khớp</t>
        </is>
      </c>
      <c r="G15" s="8" t="inlineStr">
        <is>
          <t>Đúng như mong đợi</t>
        </is>
      </c>
      <c r="H15" s="7" t="inlineStr">
        <is>
          <t>Pass</t>
        </is>
      </c>
      <c r="I15" s="8" t="inlineStr">
        <is>
          <t>AC50 · EP (2) · 'parses chua_xac_minh + unverified'</t>
        </is>
      </c>
    </row>
    <row r="16" ht="41" customHeight="1">
      <c r="A16" s="7" t="inlineStr">
        <is>
          <t>TC-UNVERIFIED-08</t>
        </is>
      </c>
      <c r="B16" s="7" t="inlineStr">
        <is>
          <t>Đọc phản hồi của backend cũ không có unverified (mobile)</t>
        </is>
      </c>
      <c r="C16" s="8" t="inlineStr">
        <is>
          <t>Flutter unit test</t>
        </is>
      </c>
      <c r="D16" s="8" t="inlineStr">
        <is>
          <t>1. Parse JSON không có trường unverified</t>
        </is>
      </c>
      <c r="E16" s="8" t="inlineStr">
        <is>
          <t>(không có unverified)</t>
        </is>
      </c>
      <c r="F16" s="8" t="inlineStr">
        <is>
          <t>unverified = 0, không lỗi</t>
        </is>
      </c>
      <c r="G16" s="8" t="inlineStr">
        <is>
          <t>Đúng như mong đợi</t>
        </is>
      </c>
      <c r="H16" s="7" t="inlineStr">
        <is>
          <t>Pass</t>
        </is>
      </c>
      <c r="I16" s="8" t="inlineStr">
        <is>
          <t>AC50 · EP (3) · 'missing unverified defaults to 0'</t>
        </is>
      </c>
    </row>
    <row r="17" ht="74" customHeight="1">
      <c r="A17" s="7" t="inlineStr">
        <is>
          <t>TC-UNVERIFIED-09</t>
        </is>
      </c>
      <c r="B17" s="7" t="inlineStr">
        <is>
          <t>Báo lỗi dữ liệu khi chua_xac_minh sai định dạng (mobile)</t>
        </is>
      </c>
      <c r="C17" s="8" t="inlineStr">
        <is>
          <t>Flutter unit test</t>
        </is>
      </c>
      <c r="D17" s="8" t="inlineStr">
        <is>
          <t>1. Parse chua_xac_minh có taken_at
2. chua_xac_minh với recorded
3. Tổng không khớp</t>
        </is>
      </c>
      <c r="E17" s="8" t="inlineStr">
        <is>
          <t>3 biến thể sai</t>
        </is>
      </c>
      <c r="F17" s="8" t="inlineStr">
        <is>
          <t>FormatException như hiện tại</t>
        </is>
      </c>
      <c r="G17" s="8" t="inlineStr">
        <is>
          <t>Đúng như mong đợi</t>
        </is>
      </c>
      <c r="H17" s="7" t="inlineStr">
        <is>
          <t>Pass</t>
        </is>
      </c>
      <c r="I17" s="8" t="inlineStr">
        <is>
          <t>AC50 · EP (6,7,8) · 'rejects chua_xac_minh with taken_at or recorded source', 'rejects total mismatch with unverified'</t>
        </is>
      </c>
    </row>
    <row r="18" ht="57.5" customHeight="1">
      <c r="A18" s="7" t="inlineStr">
        <is>
          <t>TC-UNVERIFIED-10</t>
        </is>
      </c>
      <c r="B18" s="7" t="inlineStr">
        <is>
          <t>Hiện nhãn 'Chưa xác minh' trên màn lịch sử của người thân trên máy thật</t>
        </is>
      </c>
      <c r="C18" s="8" t="inlineStr">
        <is>
          <t>Liều quá hạn chót, patient chưa đồng bộ (không mở app patient)</t>
        </is>
      </c>
      <c r="D18" s="8" t="inlineStr">
        <is>
          <t>1. Trên máy người thân mở lịch sử tuân thủ của patient hôm nay</t>
        </is>
      </c>
      <c r="E18" s="8" t="inlineStr">
        <is>
          <t>Liều 13:52</t>
        </is>
      </c>
      <c r="F18" s="8" t="inlineStr">
        <is>
          <t>Liều hiện nhãn 'Chưa xác minh', icon đám mây gạch chéo, màu trung tính; không tính vào tỷ lệ</t>
        </is>
      </c>
      <c r="G18" s="8" t="inlineStr"/>
      <c r="H18" s="7" t="inlineStr">
        <is>
          <t>Pending</t>
        </is>
      </c>
      <c r="I18" s="8" t="inlineStr">
        <is>
          <t>AC40 · AC50 · manual (backend đã trả chua_xac_minh, chờ người dùng xem trên app)</t>
        </is>
      </c>
    </row>
    <row r="19"/>
    <row r="20"/>
    <row r="21">
      <c r="G21" s="12" t="inlineStr">
        <is>
          <t>Pass</t>
        </is>
      </c>
      <c r="H21" s="13">
        <f>COUNTIF(H9:H18,"Pass")</f>
        <v/>
      </c>
    </row>
    <row r="22">
      <c r="G22" s="12" t="inlineStr">
        <is>
          <t>Fail</t>
        </is>
      </c>
      <c r="H22" s="13">
        <f>COUNTIF(H9:H18,"Fail")</f>
        <v/>
      </c>
    </row>
    <row r="23">
      <c r="G23" s="12" t="inlineStr">
        <is>
          <t>Pending</t>
        </is>
      </c>
      <c r="H23" s="13">
        <f>COUNTIF(H9:H18,"Pending")</f>
        <v/>
      </c>
    </row>
    <row r="24">
      <c r="G24" s="12" t="inlineStr">
        <is>
          <t>Total</t>
        </is>
      </c>
      <c r="H24" s="13">
        <f>SUM(H21:H23)</f>
        <v/>
      </c>
    </row>
  </sheetData>
  <autoFilter ref="A8:I18"/>
  <conditionalFormatting sqref="H9:H18">
    <cfRule type="cellIs" priority="1" operator="equal" dxfId="0">
      <formula>"Fail"</formula>
    </cfRule>
  </conditionalFormatting>
  <dataValidations count="1">
    <dataValidation sqref="H9:H18" showDropDown="0" showInputMessage="0" showErrorMessage="0" allowBlank="0" type="list">
      <formula1>"Pass,Fail,Pending"</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35"/>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Chuẩn hóa văn bản OCR (OCRNORM)</t>
        </is>
      </c>
    </row>
    <row r="3">
      <c r="A3" s="1" t="inlineStr">
        <is>
          <t>Created By</t>
        </is>
      </c>
      <c r="B3" s="2" t="inlineStr">
        <is>
          <t>phucnguyenngoc</t>
        </is>
      </c>
    </row>
    <row r="4">
      <c r="A4" s="1" t="inlineStr">
        <is>
          <t>Creation Date</t>
        </is>
      </c>
      <c r="B4" s="21" t="n">
        <v>46323</v>
      </c>
    </row>
    <row r="5">
      <c r="A5" s="1" t="inlineStr">
        <is>
          <t>Reviewed By</t>
        </is>
      </c>
      <c r="B5" s="2" t="inlineStr"/>
    </row>
    <row r="6">
      <c r="A6" s="1" t="inlineStr">
        <is>
          <t>Reviewed Date</t>
        </is>
      </c>
      <c r="B6" s="2" t="n"/>
    </row>
    <row r="7">
      <c r="K7" s="4" t="inlineStr">
        <is>
          <t>Equivalence Partitioning</t>
        </is>
      </c>
      <c r="Q7" s="4" t="inlineStr">
        <is>
          <t>Phân loại hàm lượng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73" customHeight="1">
      <c r="A9" s="7" t="inlineStr">
        <is>
          <t>TC-OCRNORM-01</t>
        </is>
      </c>
      <c r="B9" s="7" t="inlineStr">
        <is>
          <t>Chuẩn hóa tiếng Việt NFC/NFD, chữ hoa và đ</t>
        </is>
      </c>
      <c r="C9" s="8" t="inlineStr">
        <is>
          <t>Checkout task 4.12; backend/.venv đã có dependencies. Chạy từ thư mục backend; dùng fixture tổng hợp, không cần DB/mạng, không dùng ảnh hoặc dữ liệu bệnh nhân.</t>
        </is>
      </c>
      <c r="D9" s="8" t="inlineStr">
        <is>
          <t>1. Mở terminal tại backend; kích hoạt môi trường .venv hoặc dùng .venv/Scripts/python.exe.
2. Chạy .venv/Scripts/python.exe -m pytest -vv tests/unit/test_catalog_ocr_normalization.py::test_vietnamese_nfc_nfd_case_and_d_share_key__AC1.
3. Đối chiếu assertion cho dữ liệu cụ thể và kết quả kỳ vọng dưới đây; lưu output vào evidence của task.</t>
        </is>
      </c>
      <c r="E9" s="8" t="inlineStr">
        <is>
          <t>THUỐC ĐỎ; thuốc đỏ; NFD(THUỐC ĐỎ)</t>
        </is>
      </c>
      <c r="F9" s="8" t="inlineStr">
        <is>
          <t>normalized_text=name_key='thuoc do'; strength_status=absent; chuẩn hóa lần hai không đổi.</t>
        </is>
      </c>
      <c r="G9" s="8" t="inlineStr">
        <is>
          <t>Đạt toàn bộ assertion của 3 invocation trong lượt test sau sửa R1, 28/10/2026; evidence/test-R1-unit-architecture.xml và .log; không skip.</t>
        </is>
      </c>
      <c r="H9" s="7" t="inlineStr">
        <is>
          <t>Pass</t>
        </is>
      </c>
      <c r="I9" s="8" t="inlineStr">
        <is>
          <t>AC1 · EP (1) · tests/unit/test_catalog_ocr_normalization.py::test_vietnamese_nfc_nfd_case_and_d_share_key__AC1 · evidence/test-R1-unit-architecture.xml</t>
        </is>
      </c>
      <c r="K9" s="9" t="inlineStr">
        <is>
          <t>text</t>
        </is>
      </c>
      <c r="L9" s="10" t="inlineStr">
        <is>
          <t>Tiếng Việt NFC/NFD/hoa thường/đ
Whitespace/nhiễu đã liệt kê/nhiều dòng
Chữ số trong tên và ký tự OCR nghi ngờ
Hàm lượng đơn MVP dương
Nồng độ/phối hợp/phần trăm MVP
Quy cách/metadata không phải hàm lượng
Rỗng/whitespace/chỉ nhiễu</t>
        </is>
      </c>
      <c r="M9" s="10" t="inlineStr">
        <is>
          <t>1
2
3
4
5
6
7</t>
        </is>
      </c>
      <c r="N9" s="10" t="inlineStr">
        <is>
          <t>Đầu vào không phải str
Hàm lượng sai/ngoài MVP/dang dở
Nhiều nhóm hàm lượng độc lập</t>
        </is>
      </c>
      <c r="O9" s="10" t="inlineStr">
        <is>
          <t>8
9
10</t>
        </is>
      </c>
      <c r="Q9" s="10" t="inlineStr">
        <is>
          <t>Có nhóm trông như hàm lượng?</t>
        </is>
      </c>
      <c r="R9" s="11" t="inlineStr">
        <is>
          <t>No</t>
        </is>
      </c>
      <c r="S9" s="11" t="inlineStr">
        <is>
          <t>Yes</t>
        </is>
      </c>
      <c r="T9" s="11" t="inlineStr">
        <is>
          <t>Yes</t>
        </is>
      </c>
      <c r="U9" s="11" t="inlineStr">
        <is>
          <t>Yes</t>
        </is>
      </c>
    </row>
    <row r="10" ht="156.5" customHeight="1">
      <c r="A10" s="7" t="inlineStr">
        <is>
          <t>TC-OCRNORM-02</t>
        </is>
      </c>
      <c r="B10" s="7" t="inlineStr">
        <is>
          <t>Loại nhiễu và gộp khoảng trắng trên một vỏ nhiều dòng</t>
        </is>
      </c>
      <c r="C10" s="8" t="inlineStr">
        <is>
          <t>Checkout task 4.12; backend/.venv đã có dependencies. Chạy từ thư mục backend; dùng fixture tổng hợp, không cần DB/mạng, không dùng ảnh hoặc dữ liệu bệnh nhân.</t>
        </is>
      </c>
      <c r="D10" s="8" t="inlineStr">
        <is>
          <t>1. Mở terminal tại backend; kích hoạt môi trường .venv hoặc dùng .venv/Scripts/python.exe.
2. Chạy .venv/Scripts/python.exe -m pytest -vv tests/unit/test_catalog_ocr_normalization.py::test_noise_multiline_whitespace_and_key_idempotence__AC2.
3. Đối chiếu assertion cho dữ liệu cụ thể và kết quả kỳ vọng dưới đây; lưu output vào evidence của task.</t>
        </is>
      </c>
      <c r="E10" s="8" t="inlineStr">
        <is>
          <t>Tab/newline; Thuốc•Đỏ®Vỉ™Nén; • Thuốc\n Mẫu\r\n 500MG®\n20 viên™</t>
        </is>
      </c>
      <c r="F10" s="8" t="inlineStr">
        <is>
          <t>Nhiễu trở thành phân cách, không dính từ; 'thuoc do vi nen' và 'thuoc mau 500mg 20 vien'; một kết quả cho một vỏ.</t>
        </is>
      </c>
      <c r="G10" s="8" t="inlineStr">
        <is>
          <t>Đạt toàn bộ assertion của 3 invocation trong lượt test sau sửa R1, 28/10/2026; evidence/test-R1-unit-architecture.xml và .log; không skip.</t>
        </is>
      </c>
      <c r="H10" s="7" t="inlineStr">
        <is>
          <t>Pass</t>
        </is>
      </c>
      <c r="I10" s="8" t="inlineStr">
        <is>
          <t>AC2 · EP (2) · tests/unit/test_catalog_ocr_normalization.py::test_noise_multiline_whitespace_and_key_idempotence__AC2 · evidence/test-R1-unit-architecture.xml</t>
        </is>
      </c>
      <c r="Q10" s="10" t="inlineStr">
        <is>
          <t>Toàn biểu thức đúng MVP?</t>
        </is>
      </c>
      <c r="R10" s="11" t="inlineStr">
        <is>
          <t>-</t>
        </is>
      </c>
      <c r="S10" s="11" t="inlineStr">
        <is>
          <t>Yes</t>
        </is>
      </c>
      <c r="T10" s="11" t="inlineStr">
        <is>
          <t>No</t>
        </is>
      </c>
      <c r="U10" s="11" t="inlineStr">
        <is>
          <t>Yes</t>
        </is>
      </c>
    </row>
    <row r="11" ht="156.5" customHeight="1">
      <c r="A11" s="7" t="inlineStr">
        <is>
          <t>TC-OCRNORM-03</t>
        </is>
      </c>
      <c r="B11" s="7" t="inlineStr">
        <is>
          <t>Giữ chữ số trong tên và ký tự OCR nghi ngờ</t>
        </is>
      </c>
      <c r="C11" s="8" t="inlineStr">
        <is>
          <t>Checkout task 4.12; backend/.venv đã có dependencies. Chạy từ thư mục backend; dùng fixture tổng hợp, không cần DB/mạng, không dùng ảnh hoặc dữ liệu bệnh nhân.</t>
        </is>
      </c>
      <c r="D11" s="8" t="inlineStr">
        <is>
          <t>1. Mở terminal tại backend; kích hoạt môi trường .venv hoặc dùng .venv/Scripts/python.exe.
2. Chạy .venv/Scripts/python.exe -m pytest -vv tests/unit/test_catalog_ocr_normalization.py::test_numbers_in_names_and_ocr_confusables_are_preserved__AC3.
3. Đối chiếu assertion cho dữ liệu cụ thể và kết quả kỳ vọng dưới đây; lưu output vào evidence của task.</t>
        </is>
      </c>
      <c r="E11" s="8" t="inlineStr">
        <is>
          <t>Vitamin B12; Vitamin D3; Thuốc 123; O0l1 B12 D3; B12®D3</t>
        </is>
      </c>
      <c r="F11" s="8" t="inlineStr">
        <is>
          <t>Giữ b12/d3/123/o0l1; không đổi O thành 0 hoặc l thành 1; strength_status=absent.</t>
        </is>
      </c>
      <c r="G11" s="8" t="inlineStr">
        <is>
          <t>Đạt toàn bộ assertion của 5 invocation trong lượt test sau sửa R1, 28/10/2026; evidence/test-R1-unit-architecture.xml và .log; không skip.</t>
        </is>
      </c>
      <c r="H11" s="7" t="inlineStr">
        <is>
          <t>Pass</t>
        </is>
      </c>
      <c r="I11" s="8" t="inlineStr">
        <is>
          <t>AC3 · EP (3) · Decision Table Phân loại hàm lượng (R1) · tests/unit/test_catalog_ocr_normalization.py::test_numbers_in_names_and_ocr_confusables_are_preserved__AC3 · evidence/test-R1-unit-architecture.xml</t>
        </is>
      </c>
      <c r="Q11" s="10" t="inlineStr">
        <is>
          <t>Nhiều nhóm độc lập?</t>
        </is>
      </c>
      <c r="R11" s="11" t="inlineStr">
        <is>
          <t>-</t>
        </is>
      </c>
      <c r="S11" s="11" t="inlineStr">
        <is>
          <t>No</t>
        </is>
      </c>
      <c r="T11" s="11" t="inlineStr">
        <is>
          <t>-</t>
        </is>
      </c>
      <c r="U11" s="11" t="inlineStr">
        <is>
          <t>Yes</t>
        </is>
      </c>
    </row>
    <row r="12" ht="156.5" customHeight="1">
      <c r="A12" s="7" t="inlineStr">
        <is>
          <t>TC-OCRNORM-04</t>
        </is>
      </c>
      <c r="B12" s="7" t="inlineStr">
        <is>
          <t>Tách hàm lượng đơn viết liền và cách đơn vị</t>
        </is>
      </c>
      <c r="C12" s="8" t="inlineStr">
        <is>
          <t>Checkout task 4.12; backend/.venv đã có dependencies. Chạy từ thư mục backend; dùng fixture tổng hợp, không cần DB/mạng, không dùng ảnh hoặc dữ liệu bệnh nhân.</t>
        </is>
      </c>
      <c r="D12" s="8" t="inlineStr">
        <is>
          <t>1. Mở terminal tại backend; kích hoạt môi trường .venv hoặc dùng .venv/Scripts/python.exe.
2. Chạy .venv/Scripts/python.exe -m pytest -vv tests/unit/test_catalog_ocr_normalization.py::test_simple_strength_spacing_units_and_decimal__AC4.
3. Đối chiếu assertion cho dữ liệu cụ thể và kết quả kỳ vọng dưới đây; lưu output vào evidence của task.</t>
        </is>
      </c>
      <c r="E12" s="8" t="inlineStr">
        <is>
          <t>• Thuốc Mẫu 500MG; 500 mg; 25 mcg; 25MCG</t>
        </is>
      </c>
      <c r="F12" s="8" t="inlineStr">
        <is>
          <t>name_key='thuoc mau'; strength_text='500 mg' hoặc '25 mcg'; strength_parts có đúng một phần tử; parsed.</t>
        </is>
      </c>
      <c r="G12" s="8" t="inlineStr">
        <is>
          <t>Đạt toàn bộ assertion của 7 invocation trong lượt test sau sửa R1, 28/10/2026; evidence/test-R1-unit-architecture.xml và .log; không skip.</t>
        </is>
      </c>
      <c r="H12" s="7" t="inlineStr">
        <is>
          <t>Pass</t>
        </is>
      </c>
      <c r="I12" s="8" t="inlineStr">
        <is>
          <t>AC4 · EP (4) · Decision Table Phân loại hàm lượng (R2) · tests/unit/test_catalog_ocr_normalization.py::test_simple_strength_spacing_units_and_decimal__AC4 · evidence/test-R1-unit-architecture.xml</t>
        </is>
      </c>
      <c r="Q12" s="6" t="inlineStr">
        <is>
          <t>Action</t>
        </is>
      </c>
      <c r="R12" s="5" t="inlineStr">
        <is>
          <t>R1</t>
        </is>
      </c>
      <c r="S12" s="5" t="inlineStr">
        <is>
          <t>R2</t>
        </is>
      </c>
      <c r="T12" s="5" t="inlineStr">
        <is>
          <t>R3</t>
        </is>
      </c>
      <c r="U12" s="5" t="inlineStr">
        <is>
          <t>R4</t>
        </is>
      </c>
    </row>
    <row r="13" ht="156.5" customHeight="1">
      <c r="A13" s="7" t="inlineStr">
        <is>
          <t>TC-OCRNORM-05</t>
        </is>
      </c>
      <c r="B13" s="7" t="inlineStr">
        <is>
          <t>Chuẩn hóa thập phân mà không đổi đơn vị</t>
        </is>
      </c>
      <c r="C13" s="8" t="inlineStr">
        <is>
          <t>Checkout task 4.12; backend/.venv đã có dependencies. Chạy từ thư mục backend; dùng fixture tổng hợp, không cần DB/mạng, không dùng ảnh hoặc dữ liệu bệnh nhân.</t>
        </is>
      </c>
      <c r="D13" s="8" t="inlineStr">
        <is>
          <t>1. Mở terminal tại backend; kích hoạt môi trường .venv hoặc dùng .venv/Scripts/python.exe.
2. Chạy .venv/Scripts/python.exe -m pytest -vv tests/unit/test_catalog_ocr_normalization.py::test_simple_strength_spacing_units_and_decimal__AC4.
3. Đối chiếu assertion cho dữ liệu cụ thể và kết quả kỳ vọng dưới đây; lưu output vào evidence của task.</t>
        </is>
      </c>
      <c r="E13" s="8" t="inlineStr">
        <is>
          <t>Thuốc Mẫu 0,5 g; 0.5g; 0.0005g</t>
        </is>
      </c>
      <c r="F13" s="8" t="inlineStr">
        <is>
          <t>Giữ giá trị 0.5 g hoặc 0.0005 g, không đổi sang mg; parsed và idempotent.</t>
        </is>
      </c>
      <c r="G13" s="8" t="inlineStr">
        <is>
          <t>Đạt toàn bộ assertion của 7 invocation trong lượt test sau sửa R1, 28/10/2026; evidence/test-R1-unit-architecture.xml và .log; không skip.</t>
        </is>
      </c>
      <c r="H13" s="7" t="inlineStr">
        <is>
          <t>Pass</t>
        </is>
      </c>
      <c r="I13" s="8" t="inlineStr">
        <is>
          <t>AC4 · EP (4) · BVA ngưỡng dương (0.0005 &gt; 0); không có giới hạn trên được đặc tả · tests/unit/test_catalog_ocr_normalization.py::test_simple_strength_spacing_units_and_decimal__AC4 · evidence/test-R1-unit-architecture.xml</t>
        </is>
      </c>
      <c r="Q13" s="10" t="inlineStr">
        <is>
          <t>absent, giữ tên</t>
        </is>
      </c>
      <c r="R13" s="11" t="inlineStr">
        <is>
          <t>X</t>
        </is>
      </c>
      <c r="S13" s="11" t="inlineStr"/>
      <c r="T13" s="11" t="inlineStr"/>
      <c r="U13" s="11" t="inlineStr"/>
    </row>
    <row r="14" ht="156.5" customHeight="1">
      <c r="A14" s="7" t="inlineStr">
        <is>
          <t>TC-OCRNORM-06</t>
        </is>
      </c>
      <c r="B14" s="7" t="inlineStr">
        <is>
          <t>Giữ cấu trúc nồng độ khi tách hàm lượng</t>
        </is>
      </c>
      <c r="C14" s="8" t="inlineStr">
        <is>
          <t>Checkout task 4.12; backend/.venv đã có dependencies. Chạy từ thư mục backend; dùng fixture tổng hợp, không cần DB/mạng, không dùng ảnh hoặc dữ liệu bệnh nhân.</t>
        </is>
      </c>
      <c r="D14" s="8" t="inlineStr">
        <is>
          <t>1. Mở terminal tại backend; kích hoạt môi trường .venv hoặc dùng .venv/Scripts/python.exe.
2. Chạy .venv/Scripts/python.exe -m pytest -vv tests/unit/test_catalog_ocr_normalization.py::test_concentration_combination_and_percent_preserve_structure__AC5.
3. Đối chiếu assertion cho dữ liệu cụ thể và kết quả kỳ vọng dưới đây; lưu output vào evidence của task.</t>
        </is>
      </c>
      <c r="E14" s="8" t="inlineStr">
        <is>
          <t>Thuốc Mẫu 5 mg/ml; 5 MG / ML; 250mg/5ml; 250 mg / 0,5 ml</t>
        </is>
      </c>
      <c r="F14" s="8" t="inlineStr">
        <is>
          <t>Kết quả lần lượt 5 mg/ml; 250 mg/5 ml; 250 mg/0.5 ml; giữ đủ tử/mẫu, không chỉ tách tử số.</t>
        </is>
      </c>
      <c r="G14" s="8" t="inlineStr">
        <is>
          <t>Đạt toàn bộ assertion của 8 invocation trong lượt test sau sửa R1, 28/10/2026; evidence/test-R1-unit-architecture.xml và .log; không skip.</t>
        </is>
      </c>
      <c r="H14" s="7" t="inlineStr">
        <is>
          <t>Pass</t>
        </is>
      </c>
      <c r="I14" s="8" t="inlineStr">
        <is>
          <t>AC5 · EP (5) · tests/unit/test_catalog_ocr_normalization.py::test_concentration_combination_and_percent_preserve_structure__AC5 · evidence/test-R1-unit-architecture.xml</t>
        </is>
      </c>
      <c r="Q14" s="10" t="inlineStr">
        <is>
          <t>parsed, tách toàn nhóm</t>
        </is>
      </c>
      <c r="R14" s="11" t="inlineStr"/>
      <c r="S14" s="11" t="inlineStr">
        <is>
          <t>X</t>
        </is>
      </c>
      <c r="T14" s="11" t="inlineStr"/>
      <c r="U14" s="11" t="inlineStr"/>
    </row>
    <row r="15" ht="156.5" customHeight="1">
      <c r="A15" s="7" t="inlineStr">
        <is>
          <t>TC-OCRNORM-07</t>
        </is>
      </c>
      <c r="B15" s="7" t="inlineStr">
        <is>
          <t>Giữ thứ tự mọi thành phần phối hợp</t>
        </is>
      </c>
      <c r="C15" s="8" t="inlineStr">
        <is>
          <t>Checkout task 4.12; backend/.venv đã có dependencies. Chạy từ thư mục backend; dùng fixture tổng hợp, không cần DB/mạng, không dùng ảnh hoặc dữ liệu bệnh nhân.</t>
        </is>
      </c>
      <c r="D15" s="8" t="inlineStr">
        <is>
          <t>1. Mở terminal tại backend; kích hoạt môi trường .venv hoặc dùng .venv/Scripts/python.exe.
2. Chạy .venv/Scripts/python.exe -m pytest -vv tests/unit/test_catalog_ocr_normalization.py::test_concentration_combination_and_percent_preserve_structure__AC5.
3. Đối chiếu assertion cho dữ liệu cụ thể và kết quả kỳ vọng dưới đây; lưu output vào evidence của task.</t>
        </is>
      </c>
      <c r="E15" s="8" t="inlineStr">
        <is>
          <t>Thuốc Mẫu 500mg + 65mg; 500 MG+65 MG+10mg</t>
        </is>
      </c>
      <c r="F15" s="8" t="inlineStr">
        <is>
          <t>strength_text='500 mg + 65 mg' hoặc '500 mg + 65 mg + 10 mg'; strength_parts đúng từng phần tử theo thứ tự.</t>
        </is>
      </c>
      <c r="G15" s="8" t="inlineStr">
        <is>
          <t>Đạt toàn bộ assertion của 8 invocation trong lượt test sau sửa R1, 28/10/2026; evidence/test-R1-unit-architecture.xml và .log; không skip.</t>
        </is>
      </c>
      <c r="H15" s="7" t="inlineStr">
        <is>
          <t>Pass</t>
        </is>
      </c>
      <c r="I15" s="8" t="inlineStr">
        <is>
          <t>AC5 · EP (5) · tests/unit/test_catalog_ocr_normalization.py::test_concentration_combination_and_percent_preserve_structure__AC5 · evidence/test-R1-unit-architecture.xml</t>
        </is>
      </c>
      <c r="Q15" s="10" t="inlineStr">
        <is>
          <t>unparsed, giữ toàn text</t>
        </is>
      </c>
      <c r="R15" s="11" t="inlineStr"/>
      <c r="S15" s="11" t="inlineStr"/>
      <c r="T15" s="11" t="inlineStr">
        <is>
          <t>X</t>
        </is>
      </c>
      <c r="U15" s="11" t="inlineStr"/>
    </row>
    <row r="16" ht="156.5" customHeight="1">
      <c r="A16" s="7" t="inlineStr">
        <is>
          <t>TC-OCRNORM-08</t>
        </is>
      </c>
      <c r="B16" s="7" t="inlineStr">
        <is>
          <t>Giữ phần trăm như cú pháp được nhận diện</t>
        </is>
      </c>
      <c r="C16" s="8" t="inlineStr">
        <is>
          <t>Checkout task 4.12; backend/.venv đã có dependencies. Chạy từ thư mục backend; dùng fixture tổng hợp, không cần DB/mạng, không dùng ảnh hoặc dữ liệu bệnh nhân.</t>
        </is>
      </c>
      <c r="D16" s="8" t="inlineStr">
        <is>
          <t>1. Mở terminal tại backend; kích hoạt môi trường .venv hoặc dùng .venv/Scripts/python.exe.
2. Chạy .venv/Scripts/python.exe -m pytest -vv tests/unit/test_catalog_ocr_normalization.py::test_concentration_combination_and_percent_preserve_structure__AC5.
3. Đối chiếu assertion cho dữ liệu cụ thể và kết quả kỳ vọng dưới đây; lưu output vào evidence của task.</t>
        </is>
      </c>
      <c r="E16" s="8" t="inlineStr">
        <is>
          <t>Thuốc Mẫu 0,9%; 0.9 %</t>
        </is>
      </c>
      <c r="F16" s="8" t="inlineStr">
        <is>
          <t>strength_text='0.9 %'; một phần tử, parsed; không tự đổi sang mg/ml.</t>
        </is>
      </c>
      <c r="G16" s="8" t="inlineStr">
        <is>
          <t>Đạt toàn bộ assertion của 8 invocation trong lượt test sau sửa R1, 28/10/2026; evidence/test-R1-unit-architecture.xml và .log; không skip.</t>
        </is>
      </c>
      <c r="H16" s="7" t="inlineStr">
        <is>
          <t>Pass</t>
        </is>
      </c>
      <c r="I16" s="8" t="inlineStr">
        <is>
          <t>AC5 · EP (5) · tests/unit/test_catalog_ocr_normalization.py::test_concentration_combination_and_percent_preserve_structure__AC5 · evidence/test-R1-unit-architecture.xml</t>
        </is>
      </c>
      <c r="Q16" s="10" t="inlineStr">
        <is>
          <t>ambiguous, giữ toàn text</t>
        </is>
      </c>
      <c r="R16" s="11" t="inlineStr"/>
      <c r="S16" s="11" t="inlineStr"/>
      <c r="T16" s="11" t="inlineStr"/>
      <c r="U16" s="11" t="inlineStr">
        <is>
          <t>X</t>
        </is>
      </c>
    </row>
    <row r="17" ht="156.5" customHeight="1">
      <c r="A17" s="7" t="inlineStr">
        <is>
          <t>TC-OCRNORM-09</t>
        </is>
      </c>
      <c r="B17" s="7" t="inlineStr">
        <is>
          <t>Giữ nguyên nhóm số không dương và dấu số chưa hỗ trợ</t>
        </is>
      </c>
      <c r="C17" s="8" t="inlineStr">
        <is>
          <t>Checkout task 4.12; backend/.venv đã có dependencies. Chạy từ thư mục backend; dùng fixture tổng hợp, không cần DB/mạng, không dùng ảnh hoặc dữ liệu bệnh nhân.</t>
        </is>
      </c>
      <c r="D17" s="8" t="inlineStr">
        <is>
          <t>1. Mở terminal tại backend; kích hoạt môi trường .venv hoặc dùng .venv/Scripts/python.exe.
2. Chạy .venv/Scripts/python.exe -m pytest -vv tests/unit/test_catalog_ocr_normalization.py::test_invalid_unsupported_strengths_are_retained__AC6.
3. Đối chiếu assertion cho dữ liệu cụ thể và kết quả kỳ vọng dưới đây; lưu output vào evidence của task.</t>
        </is>
      </c>
      <c r="E17" s="8" t="inlineStr">
        <is>
          <t>-5mg; - 500mg; −500mg; +5mg; 0mg; 0.0 mg</t>
        </is>
      </c>
      <c r="F17" s="8" t="inlineStr">
        <is>
          <t>name_key giữ toàn text chuẩn hóa; unparsed; strength_text=None và strength_parts=(); không lấy lén số dương bên trong.</t>
        </is>
      </c>
      <c r="G17" s="8" t="inlineStr">
        <is>
          <t>Đạt toàn bộ assertion của 46 invocation trong lượt test sau sửa R1, 28/10/2026; evidence/test-R1-unit-architecture.xml và .log; không skip.</t>
        </is>
      </c>
      <c r="H17" s="7" t="inlineStr">
        <is>
          <t>Pass</t>
        </is>
      </c>
      <c r="I17" s="8" t="inlineStr">
        <is>
          <t>AC6 · EP (9) · BVA ngưỡng 0 (âm, 0); không có giới hạn trên · tests/unit/test_catalog_ocr_normalization.py::test_invalid_unsupported_strengths_are_retained__AC6 · evidence/test-R1-unit-architecture.xml</t>
        </is>
      </c>
    </row>
    <row r="18" ht="156.5" customHeight="1">
      <c r="A18" s="7" t="inlineStr">
        <is>
          <t>TC-OCRNORM-10</t>
        </is>
      </c>
      <c r="B18" s="7" t="inlineStr">
        <is>
          <t>Không đoán số OCR sai và cách viết số chưa hỗ trợ</t>
        </is>
      </c>
      <c r="C18" s="8" t="inlineStr">
        <is>
          <t>Checkout task 4.12; backend/.venv đã có dependencies. Chạy từ thư mục backend; dùng fixture tổng hợp, không cần DB/mạng, không dùng ảnh hoặc dữ liệu bệnh nhân.</t>
        </is>
      </c>
      <c r="D18" s="8" t="inlineStr">
        <is>
          <t>1. Mở terminal tại backend; kích hoạt môi trường .venv hoặc dùng .venv/Scripts/python.exe.
2. Chạy .venv/Scripts/python.exe -m pytest -vv tests/unit/test_catalog_ocr_normalization.py::test_invalid_unsupported_strengths_are_retained__AC6.
3. Đối chiếu assertion cho dữ liệu cụ thể và kết quả kỳ vọng dưới đây; lưu output vào evidence của task.</t>
        </is>
      </c>
      <c r="E18" s="8" t="inlineStr">
        <is>
          <t>5OOmg; 1e3mg; 1e-3mg; 1,000 mg; 1.000 mg; 5.5.5mg</t>
        </is>
      </c>
      <c r="F18" s="8" t="inlineStr">
        <is>
          <t>Giữ nhóm chưa hiểu trong name_key; unparsed; không sửa O thành 0, không diễn giải dấu phân nhóm hoặc scientific notation.</t>
        </is>
      </c>
      <c r="G18" s="8" t="inlineStr">
        <is>
          <t>Đạt toàn bộ assertion của 46 invocation trong lượt test sau sửa R1, 28/10/2026; evidence/test-R1-unit-architecture.xml và .log; không skip.</t>
        </is>
      </c>
      <c r="H18" s="7" t="inlineStr">
        <is>
          <t>Pass</t>
        </is>
      </c>
      <c r="I18" s="8" t="inlineStr">
        <is>
          <t>AC6 · EP (9) · tests/unit/test_catalog_ocr_normalization.py::test_invalid_unsupported_strengths_are_retained__AC6 · evidence/test-R1-unit-architecture.xml</t>
        </is>
      </c>
    </row>
    <row r="19" ht="156.5" customHeight="1">
      <c r="A19" s="7" t="inlineStr">
        <is>
          <t>TC-OCRNORM-11</t>
        </is>
      </c>
      <c r="B19" s="7" t="inlineStr">
        <is>
          <t>Giữ biểu thức phối hợp và nồng độ dang dở</t>
        </is>
      </c>
      <c r="C19" s="8" t="inlineStr">
        <is>
          <t>Checkout task 4.12; backend/.venv đã có dependencies. Chạy từ thư mục backend; dùng fixture tổng hợp, không cần DB/mạng, không dùng ảnh hoặc dữ liệu bệnh nhân.</t>
        </is>
      </c>
      <c r="D19" s="8" t="inlineStr">
        <is>
          <t>1. Mở terminal tại backend; kích hoạt môi trường .venv hoặc dùng .venv/Scripts/python.exe.
2. Chạy .venv/Scripts/python.exe -m pytest -vv tests/unit/test_catalog_ocr_normalization.py::test_invalid_unsupported_strengths_are_retained__AC6.
3. Đối chiếu assertion cho dữ liệu cụ thể và kết quả kỳ vọng dưới đây; lưu output vào evidence của task.</t>
        </is>
      </c>
      <c r="E19" s="8" t="inlineStr">
        <is>
          <t>500mg +; 500mg + 5OOmg; 500/65mg; 250mg/0ml; 250mg/-5ml; 250mg/5OOml; 250mg/</t>
        </is>
      </c>
      <c r="F19" s="8" t="inlineStr">
        <is>
          <t>Không tách một nhóm con có vẻ hợp lệ; toàn text còn trong name_key; unparsed, không có strength_parts.</t>
        </is>
      </c>
      <c r="G19" s="8" t="inlineStr">
        <is>
          <t>Đạt toàn bộ assertion của 46 invocation trong lượt test sau sửa R1, 28/10/2026; evidence/test-R1-unit-architecture.xml và .log; không skip.</t>
        </is>
      </c>
      <c r="H19" s="7" t="inlineStr">
        <is>
          <t>Pass</t>
        </is>
      </c>
      <c r="I19" s="8" t="inlineStr">
        <is>
          <t>AC5, AC6 · EP (9) · Decision Table Phân loại hàm lượng (R3) · tests/unit/test_catalog_ocr_normalization.py::test_invalid_unsupported_strengths_are_retained__AC6 · evidence/test-R1-unit-architecture.xml</t>
        </is>
      </c>
    </row>
    <row r="20" ht="156.5" customHeight="1">
      <c r="A20" s="7" t="inlineStr">
        <is>
          <t>TC-OCRNORM-12</t>
        </is>
      </c>
      <c r="B20" s="7" t="inlineStr">
        <is>
          <t>Không mở rộng đơn vị ngoài MVP</t>
        </is>
      </c>
      <c r="C20" s="8" t="inlineStr">
        <is>
          <t>Checkout task 4.12; backend/.venv đã có dependencies. Chạy từ thư mục backend; dùng fixture tổng hợp, không cần DB/mạng, không dùng ảnh hoặc dữ liệu bệnh nhân.</t>
        </is>
      </c>
      <c r="D20" s="8" t="inlineStr">
        <is>
          <t>1. Mở terminal tại backend; kích hoạt môi trường .venv hoặc dùng .venv/Scripts/python.exe.
2. Chạy .venv/Scripts/python.exe -m pytest -vv tests/unit/test_catalog_ocr_normalization.py::test_invalid_unsupported_strengths_are_retained__AC6.
3. Đối chiếu assertion cho dữ liệu cụ thể và kết quả kỳ vọng dưới đây; lưu output vào evidence của task.</t>
        </is>
      </c>
      <c r="E20" s="8" t="inlineStr">
        <is>
          <t>50 IU; 50UI; 25 µg; 25μg; 5kg; 5 ml; 5 g/ml; 5 mcg/ml; 5 mg/g</t>
        </is>
      </c>
      <c r="F20" s="8" t="inlineStr">
        <is>
          <t>Giữ cách viết đã normalize, unparsed; không ánh xạ IU/UI/µg/μg thành mcg hoặc tự quy đổi.</t>
        </is>
      </c>
      <c r="G20" s="8" t="inlineStr">
        <is>
          <t>Đạt toàn bộ assertion của 46 invocation trong lượt test sau sửa R1, 28/10/2026; evidence/test-R1-unit-architecture.xml và .log; không skip.</t>
        </is>
      </c>
      <c r="H20" s="7" t="inlineStr">
        <is>
          <t>Pass</t>
        </is>
      </c>
      <c r="I20" s="8" t="inlineStr">
        <is>
          <t>AC6 · EP (9) · tests/unit/test_catalog_ocr_normalization.py::test_invalid_unsupported_strengths_are_retained__AC6 · evidence/test-R1-unit-architecture.xml</t>
        </is>
      </c>
    </row>
    <row r="21" ht="140" customHeight="1">
      <c r="A21" s="7" t="inlineStr">
        <is>
          <t>TC-OCRNORM-13</t>
        </is>
      </c>
      <c r="B21" s="7" t="inlineStr">
        <is>
          <t>Không chọn tùy tiện một trong nhiều hàm lượng độc lập</t>
        </is>
      </c>
      <c r="C21" s="8" t="inlineStr">
        <is>
          <t>Checkout task 4.12; backend/.venv đã có dependencies. Chạy từ thư mục backend; dùng fixture tổng hợp, không cần DB/mạng, không dùng ảnh hoặc dữ liệu bệnh nhân.</t>
        </is>
      </c>
      <c r="D21" s="8" t="inlineStr">
        <is>
          <t>1. Mở terminal tại backend; kích hoạt môi trường .venv hoặc dùng .venv/Scripts/python.exe.
2. Chạy .venv/Scripts/python.exe -m pytest -vv tests/unit/test_catalog_ocr_normalization.py::test_competing_strengths_are_retained__AC6.
3. Đối chiếu assertion cho dữ liệu cụ thể và kết quả kỳ vọng dưới đây; lưu output vào evidence của task.</t>
        </is>
      </c>
      <c r="E21" s="8" t="inlineStr">
        <is>
          <t>Thuốc Mẫu 500mg 250mg; 500 mg 250 mg; 5mg/ml 10mg/ml</t>
        </is>
      </c>
      <c r="F21" s="8" t="inlineStr">
        <is>
          <t>strength_status=ambiguous; không tách hàm lượng, name_key giữ toàn text và strength_parts=().</t>
        </is>
      </c>
      <c r="G21" s="8" t="inlineStr">
        <is>
          <t>Đạt toàn bộ assertion của 3 invocation trong lượt test sau sửa R1, 28/10/2026; evidence/test-R1-unit-architecture.xml và .log; không skip.</t>
        </is>
      </c>
      <c r="H21" s="7" t="inlineStr">
        <is>
          <t>Pass</t>
        </is>
      </c>
      <c r="I21" s="8" t="inlineStr">
        <is>
          <t>AC6 · EP (10) · Decision Table Phân loại hàm lượng (R4) · tests/unit/test_catalog_ocr_normalization.py::test_competing_strengths_are_retained__AC6 · evidence/test-R1-unit-architecture.xml</t>
        </is>
      </c>
    </row>
    <row r="22" ht="156.5" customHeight="1">
      <c r="A22" s="7" t="inlineStr">
        <is>
          <t>TC-OCRNORM-14</t>
        </is>
      </c>
      <c r="B22" s="7" t="inlineStr">
        <is>
          <t>Không bỏ qua nhóm cạnh tranh bị che bởi dấu câu</t>
        </is>
      </c>
      <c r="C22" s="8" t="inlineStr">
        <is>
          <t>Checkout task 4.12; backend/.venv đã có dependencies. Chạy từ thư mục backend; dùng fixture tổng hợp, không cần DB/mạng, không dùng ảnh hoặc dữ liệu bệnh nhân.</t>
        </is>
      </c>
      <c r="D22" s="8" t="inlineStr">
        <is>
          <t>1. Mở terminal tại backend; kích hoạt môi trường .venv hoặc dùng .venv/Scripts/python.exe.
2. Chạy .venv/Scripts/python.exe -m pytest -vv tests/unit/test_catalog_ocr_normalization.py::test_malformed_competing_strength_is_never_ignored__AC6.
3. Đối chiếu assertion cho dữ liệu cụ thể và kết quả kỳ vọng dưới đây; lưu output vào evidence của task.</t>
        </is>
      </c>
      <c r="E22" s="8" t="inlineStr">
        <is>
          <t>500mg 250mg,; 500mg 25mcg.; 500mg (250mg); 500mg 5/ml; 500mg 5 / (ml)</t>
        </is>
      </c>
      <c r="F22" s="8" t="inlineStr">
        <is>
          <t>Không lấy 500 mg rồi bỏ nhóm sau; unparsed và toàn text được giữ; idempotent.</t>
        </is>
      </c>
      <c r="G22" s="8" t="inlineStr">
        <is>
          <t>Đạt toàn bộ assertion của 9 invocation trong lượt test sau sửa R1, 28/10/2026; evidence/test-R1-unit-architecture.xml và .log; không skip.</t>
        </is>
      </c>
      <c r="H22" s="7" t="inlineStr">
        <is>
          <t>Pass</t>
        </is>
      </c>
      <c r="I22" s="8" t="inlineStr">
        <is>
          <t>AC6 · EP (9) · Đoán lỗi dấu câu · tests/unit/test_catalog_ocr_normalization.py::test_malformed_competing_strength_is_never_ignored__AC6 · evidence/test-R1-unit-architecture.xml</t>
        </is>
      </c>
    </row>
    <row r="23" ht="156.5" customHeight="1">
      <c r="A23" s="7" t="inlineStr">
        <is>
          <t>TC-OCRNORM-15</t>
        </is>
      </c>
      <c r="B23" s="7" t="inlineStr">
        <is>
          <t>Giữ số lượng đóng gói và metadata</t>
        </is>
      </c>
      <c r="C23" s="8" t="inlineStr">
        <is>
          <t>Checkout task 4.12; backend/.venv đã có dependencies. Chạy từ thư mục backend; dùng fixture tổng hợp, không cần DB/mạng, không dùng ảnh hoặc dữ liệu bệnh nhân.</t>
        </is>
      </c>
      <c r="D23" s="8" t="inlineStr">
        <is>
          <t>1. Mở terminal tại backend; kích hoạt môi trường .venv hoặc dùng .venv/Scripts/python.exe.
2. Chạy .venv/Scripts/python.exe -m pytest -vv tests/unit/test_catalog_ocr_normalization.py::test_packaging_and_metadata_are_retained__AC6.
3. Đối chiếu assertion cho dữ liệu cụ thể và kết quả kỳ vọng dưới đây; lưu output vào evidence của task.</t>
        </is>
      </c>
      <c r="E23" s="8" t="inlineStr">
        <is>
          <t>20 viên; Số lô AB12, HSD 10/2027; Thuốc Mẫu\nSố lô AB12, HSD 10/2027</t>
        </is>
      </c>
      <c r="F23" s="8" t="inlineStr">
        <is>
          <t>name_key giữ '20 vien', số lô/HSD; strength_status=absent; không tạo hàm lượng từ ngày hoặc số trong metadata.</t>
        </is>
      </c>
      <c r="G23" s="8" t="inlineStr">
        <is>
          <t>Đạt toàn bộ assertion của 3 invocation trong lượt test sau sửa R1, 28/10/2026; evidence/test-R1-unit-architecture.xml và .log; không skip.</t>
        </is>
      </c>
      <c r="H23" s="7" t="inlineStr">
        <is>
          <t>Pass</t>
        </is>
      </c>
      <c r="I23" s="8" t="inlineStr">
        <is>
          <t>AC6 · EP (6) · tests/unit/test_catalog_ocr_normalization.py::test_packaging_and_metadata_are_retained__AC6 · evidence/test-R1-unit-architecture.xml</t>
        </is>
      </c>
    </row>
    <row r="24" ht="156.5" customHeight="1">
      <c r="A24" s="7" t="inlineStr">
        <is>
          <t>TC-OCRNORM-16</t>
        </is>
      </c>
      <c r="B24" s="7" t="inlineStr">
        <is>
          <t>Tách hàm lượng hợp lệ mà vẫn giữ quy cách và metadata</t>
        </is>
      </c>
      <c r="C24" s="8" t="inlineStr">
        <is>
          <t>Checkout task 4.12; backend/.venv đã có dependencies. Chạy từ thư mục backend; dùng fixture tổng hợp, không cần DB/mạng, không dùng ảnh hoặc dữ liệu bệnh nhân.</t>
        </is>
      </c>
      <c r="D24" s="8" t="inlineStr">
        <is>
          <t>1. Mở terminal tại backend; kích hoạt môi trường .venv hoặc dùng .venv/Scripts/python.exe.
2. Chạy .venv/Scripts/python.exe -m pytest -vv tests/unit/test_catalog_ocr_normalization.py::test_valid_strength_does_not_remove_packaging_or_metadata__AC6.
3. Đối chiếu assertion cho dữ liệu cụ thể và kết quả kỳ vọng dưới đây; lưu output vào evidence của task.</t>
        </is>
      </c>
      <c r="E24" s="8" t="inlineStr">
        <is>
          <t>Thuốc Mẫu 500mg 20 viên Số lô AB12, HSD 10/2027</t>
        </is>
      </c>
      <c r="F24" s="8" t="inlineStr">
        <is>
          <t>strength_text='500 mg'; name_key='thuoc mau 20 vien so lo ab12, hsd 10/2027'.</t>
        </is>
      </c>
      <c r="G24" s="8" t="inlineStr">
        <is>
          <t>Đạt toàn bộ assertion của 1 invocation trong lượt test sau sửa R1, 28/10/2026; evidence/test-R1-unit-architecture.xml và .log; không skip.</t>
        </is>
      </c>
      <c r="H24" s="7" t="inlineStr">
        <is>
          <t>Pass</t>
        </is>
      </c>
      <c r="I24" s="8" t="inlineStr">
        <is>
          <t>AC6 · EP (6) · tests/unit/test_catalog_ocr_normalization.py::test_valid_strength_does_not_remove_packaging_or_metadata__AC6 · evidence/test-R1-unit-architecture.xml</t>
        </is>
      </c>
    </row>
    <row r="25" ht="156.5" customHeight="1">
      <c r="A25" s="7" t="inlineStr">
        <is>
          <t>TC-OCRNORM-17</t>
        </is>
      </c>
      <c r="B25" s="7" t="inlineStr">
        <is>
          <t>Trả kết quả rỗng cho text rỗng và chỉ nhiễu</t>
        </is>
      </c>
      <c r="C25" s="8" t="inlineStr">
        <is>
          <t>Checkout task 4.12; backend/.venv đã có dependencies. Chạy từ thư mục backend; dùng fixture tổng hợp, không cần DB/mạng, không dùng ảnh hoặc dữ liệu bệnh nhân.</t>
        </is>
      </c>
      <c r="D25" s="8" t="inlineStr">
        <is>
          <t>1. Mở terminal tại backend; kích hoạt môi trường .venv hoặc dùng .venv/Scripts/python.exe.
2. Chạy .venv/Scripts/python.exe -m pytest -vv tests/unit/test_catalog_ocr_normalization.py::test_blank_and_noise_only_inputs_are_empty__AC7.
3. Đối chiếu assertion cho dữ liệu cụ thể và kết quả kỳ vọng dưới đây; lưu output vào evidence của task.</t>
        </is>
      </c>
      <c r="E25" s="8" t="inlineStr">
        <is>
          <t>(blank); '  \t\n'; •®™; tab/bullet/khoảng trắng</t>
        </is>
      </c>
      <c r="F25" s="8" t="inlineStr">
        <is>
          <t>normalized_text=name_key=''; absent; strength_text=None; không tạo tên/hàm lượng mặc định.</t>
        </is>
      </c>
      <c r="G25" s="8" t="inlineStr">
        <is>
          <t>Đạt toàn bộ assertion của 4 invocation trong lượt test sau sửa R1, 28/10/2026; evidence/test-R1-unit-architecture.xml và .log; không skip.</t>
        </is>
      </c>
      <c r="H25" s="7" t="inlineStr">
        <is>
          <t>Pass</t>
        </is>
      </c>
      <c r="I25" s="8" t="inlineStr">
        <is>
          <t>AC7 · EP (7) · tests/unit/test_catalog_ocr_normalization.py::test_blank_and_noise_only_inputs_are_empty__AC7 · evidence/test-R1-unit-architecture.xml</t>
        </is>
      </c>
    </row>
    <row r="26" ht="156.5" customHeight="1">
      <c r="A26" s="7" t="inlineStr">
        <is>
          <t>TC-OCRNORM-18</t>
        </is>
      </c>
      <c r="B26" s="7" t="inlineStr">
        <is>
          <t>Từ chối đầu vào không phải chuỗi mà không echo dữ liệu</t>
        </is>
      </c>
      <c r="C26" s="8" t="inlineStr">
        <is>
          <t>Checkout task 4.12; backend/.venv đã có dependencies. Chạy từ thư mục backend; dùng fixture tổng hợp, không cần DB/mạng, không dùng ảnh hoặc dữ liệu bệnh nhân.</t>
        </is>
      </c>
      <c r="D26" s="8" t="inlineStr">
        <is>
          <t>1. Mở terminal tại backend; kích hoạt môi trường .venv hoặc dùng .venv/Scripts/python.exe.
2. Chạy .venv/Scripts/python.exe -m pytest -vv tests/unit/test_catalog_ocr_normalization.py::test_wrong_input_types_are_rejected_without_echo__AC7.
3. Đối chiếu assertion cho dữ liệu cụ thể và kết quả kỳ vọng dưới đây; lưu output vào evidence của task.</t>
        </is>
      </c>
      <c r="E26" s="8" t="inlineStr">
        <is>
          <t>None; 123; bytes('secret-ocr-marker'); ['secret-ocr-marker']</t>
        </is>
      </c>
      <c r="F26" s="8" t="inlineStr">
        <is>
          <t>Phát sinh TypeError với message nguyên văn 'OCR text must be a string'; không echo marker trong exception.</t>
        </is>
      </c>
      <c r="G26" s="8" t="inlineStr">
        <is>
          <t>Đạt toàn bộ assertion của 4 invocation trong lượt test sau sửa R1, 28/10/2026; evidence/test-R1-unit-architecture.xml và .log; không skip.</t>
        </is>
      </c>
      <c r="H26" s="7" t="inlineStr">
        <is>
          <t>Pass</t>
        </is>
      </c>
      <c r="I26" s="8" t="inlineStr">
        <is>
          <t>AC7 · EP (8) · tests/unit/test_catalog_ocr_normalization.py::test_wrong_input_types_are_rejected_without_echo__AC7 · evidence/test-R1-unit-architecture.xml</t>
        </is>
      </c>
    </row>
    <row r="27" ht="156.5" customHeight="1">
      <c r="A27" s="7" t="inlineStr">
        <is>
          <t>TC-OCRNORM-19</t>
        </is>
      </c>
      <c r="B27" s="7" t="inlineStr">
        <is>
          <t>Giữ normalizer thuần và không log text OCR</t>
        </is>
      </c>
      <c r="C27" s="8" t="inlineStr">
        <is>
          <t>Checkout task 4.12; backend/.venv đã có dependencies. Chạy từ thư mục backend; dùng fixture tổng hợp, không cần DB/mạng, không dùng ảnh hoặc dữ liệu bệnh nhân.</t>
        </is>
      </c>
      <c r="D27" s="8" t="inlineStr">
        <is>
          <t>1. Mở terminal tại backend; kích hoạt môi trường .venv hoặc dùng .venv/Scripts/python.exe.
2. Chạy .venv/Scripts/python.exe -m pytest -vv tests/unit/test_catalog_ocr_normalization.py::test_normalizer_has_no_ocr_persistence_or_external_calls__AC13.
3. Đối chiếu assertion cho dữ liệu cụ thể và kết quả kỳ vọng dưới đây; lưu output vào evidence của task.</t>
        </is>
      </c>
      <c r="E27" s="8" t="inlineStr">
        <is>
          <t>synthetic-ocr-private-marker 500mg; guard builtins.open/io.open/Path.open/socket.socket</t>
        </is>
      </c>
      <c r="F27" s="8" t="inlineStr">
        <is>
          <t>Vẫn trả name_key='synthetic-ocr-private-marker', strength_text='500 mg'; không gọi I/O và marker không xuất hiện stdout/stderr/caplog.</t>
        </is>
      </c>
      <c r="G27" s="8" t="inlineStr">
        <is>
          <t>Đạt toàn bộ assertion của 1 invocation trong lượt test sau sửa R1, 28/10/2026; evidence/test-R1-unit-architecture.xml và .log; không skip.</t>
        </is>
      </c>
      <c r="H27" s="7" t="inlineStr">
        <is>
          <t>Pass</t>
        </is>
      </c>
      <c r="I27" s="8" t="inlineStr">
        <is>
          <t>AC13 · Đoán lỗi riêng tư và I/O · tests/unit/test_catalog_ocr_normalization.py::test_normalizer_has_no_ocr_persistence_or_external_calls__AC13 · evidence/test-R1-unit-architecture.xml</t>
        </is>
      </c>
    </row>
    <row r="28" ht="189.5" customHeight="1">
      <c r="A28" s="7" t="inlineStr">
        <is>
          <t>TC-OCRNORM-20</t>
        </is>
      </c>
      <c r="B28" s="7" t="inlineStr">
        <is>
          <t>Giữ nhóm nghi ngờ bắt đầu bằng O/l và chặn tách nhóm cạnh tranh</t>
        </is>
      </c>
      <c r="C28" s="8" t="inlineStr">
        <is>
          <t>Checkout task 4.12; backend/.venv đã có dependencies. Chạy từ thư mục backend; dùng fixture tổng hợp, không cần DB/mạng, không dùng ảnh hoặc dữ liệu bệnh nhân.</t>
        </is>
      </c>
      <c r="D28" s="8" t="inlineStr">
        <is>
          <t>1. Mở terminal tại backend; kích hoạt môi trường .venv hoặc dùng .venv/Scripts/python.exe.
2. Chạy .venv/Scripts/python.exe -m pytest -vv tests/unit/test_catalog_ocr_normalization.py::test_ocr_corrupted_leading_digit_blocks_strength_extraction__AC6.
3. Đối chiếu assertion cho dữ liệu cụ thể và kết quả kỳ vọng dưới đây; lưu output vào evidence của task.</t>
        </is>
      </c>
      <c r="E28" s="8" t="inlineStr">
        <is>
          <t>Thuốc Mẫu {bad}; Thuốc Mẫu 500mg {bad}; Thuốc Mẫu {bad} 500mg; bad = O.5g, o,5 G, O.5 g, l0mg, L0 MG, l0 mg (18 tổ hợp).</t>
        </is>
      </c>
      <c r="F28" s="8" t="inlineStr">
        <is>
          <t>normalized_text=name_key giữ toàn text đã bỏ dấu/viết thường; status=unparsed; strength_text=None, strength_parts=(); chuẩn hóa lại không đổi; không tự sửa O/l thành số.</t>
        </is>
      </c>
      <c r="G28" s="8" t="inlineStr">
        <is>
          <t>Đạt toàn bộ assertion của 18 invocation trong lượt test sau sửa R1, 28/10/2026; evidence/test-R1-unit-architecture.xml và .log; không skip.</t>
        </is>
      </c>
      <c r="H28" s="7" t="inlineStr">
        <is>
          <t>Pass</t>
        </is>
      </c>
      <c r="I28" s="8" t="inlineStr">
        <is>
          <t>AC6 · EP (9,10) · Regression R1/High đã sửa, chờ review lại; 22 ca từng fail trước sửa: evidence/implement-R1-before.log; nguyên nhân detector bỏ sót tiền tố O/l · tests/unit/test_catalog_ocr_normalization.py::test_ocr_corrupted_leading_digit_blocks_strength_extraction__AC6 · evidence/test-R1-unit-architecture.xml</t>
        </is>
      </c>
    </row>
    <row r="29" ht="156.5" customHeight="1">
      <c r="A29" s="7" t="inlineStr">
        <is>
          <t>TC-OCRNORM-21</t>
        </is>
      </c>
      <c r="B29" s="7" t="inlineStr">
        <is>
          <t>Giữ tên thật và metadata khi detector nhận diện nhóm nghi ngờ</t>
        </is>
      </c>
      <c r="C29" s="8" t="inlineStr">
        <is>
          <t>Checkout task 4.12; backend/.venv đã có dependencies. Chạy từ thư mục backend; dùng fixture tổng hợp, không cần DB/mạng, không dùng ảnh hoặc dữ liệu bệnh nhân.</t>
        </is>
      </c>
      <c r="D29" s="8" t="inlineStr">
        <is>
          <t>1. Mở terminal tại backend; kích hoạt môi trường .venv hoặc dùng .venv/Scripts/python.exe.
2. Chạy .venv/Scripts/python.exe -m pytest -vv tests/unit/test_catalog_ocr_normalization.py::test_names_do_not_become_corrupted_amounts__AC3.
3. Đối chiếu assertion cho dữ liệu cụ thể và kết quả kỳ vọng dưới đây; lưu output vào evidence của task.</t>
        </is>
      </c>
      <c r="E29" s="8" t="inlineStr">
        <is>
          <t>Vitamin B12, Vitamin D3, Long, Log, Ong, O0l1 + '500mg 20 viên Số lô AB12, HSD 10/2027'.</t>
        </is>
      </c>
      <c r="F29" s="8" t="inlineStr">
        <is>
          <t>Tách đúng 500 mg, status=parsed; giữ b12/d3/long/log/ong/o0l1, quy cách và metadata trong name_key; không gán từ Long/Log/Ong thành hàm lượng sai.</t>
        </is>
      </c>
      <c r="G29" s="8" t="inlineStr">
        <is>
          <t>Đạt toàn bộ assertion của 6 invocation trong lượt test sau sửa R1, 28/10/2026; evidence/test-R1-unit-architecture.xml và .log; không skip.</t>
        </is>
      </c>
      <c r="H29" s="7" t="inlineStr">
        <is>
          <t>Pass</t>
        </is>
      </c>
      <c r="I29" s="8" t="inlineStr">
        <is>
          <t>AC3 · AC6 · EP (3,6) · Bảo vệ hồi quy R1 · tests/unit/test_catalog_ocr_normalization.py::test_names_do_not_become_corrupted_amounts__AC3 · evidence/test-R1-unit-architecture.xml</t>
        </is>
      </c>
    </row>
    <row r="30"/>
    <row r="31"/>
    <row r="32">
      <c r="G32" s="12" t="inlineStr">
        <is>
          <t>Pass</t>
        </is>
      </c>
      <c r="H32" s="13">
        <f>COUNTIF(H9:H29,"Pass")</f>
        <v/>
      </c>
    </row>
    <row r="33">
      <c r="G33" s="12" t="inlineStr">
        <is>
          <t>Fail</t>
        </is>
      </c>
      <c r="H33" s="13">
        <f>COUNTIF(H9:H29,"Fail")</f>
        <v/>
      </c>
    </row>
    <row r="34">
      <c r="G34" s="12" t="inlineStr">
        <is>
          <t>Pending</t>
        </is>
      </c>
      <c r="H34" s="13">
        <f>COUNTIF(H9:H29,"Pending")</f>
        <v/>
      </c>
    </row>
    <row r="35">
      <c r="G35" s="12" t="inlineStr">
        <is>
          <t>Total</t>
        </is>
      </c>
      <c r="H35" s="13">
        <f>SUM(H32:H34)</f>
        <v/>
      </c>
    </row>
  </sheetData>
  <autoFilter ref="A8:I29"/>
  <conditionalFormatting sqref="H9:H29">
    <cfRule type="cellIs" priority="1" operator="equal" dxfId="0">
      <formula>"Fail"</formula>
    </cfRule>
  </conditionalFormatting>
  <dataValidations count="1">
    <dataValidation sqref="H9:H29" showDropDown="0" showInputMessage="0" showErrorMessage="0" allowBlank="0" type="list">
      <formula1>"Pass,Fail,Pending"</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32"/>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Index danh mục thuốc nội bộ (CATINDEX)</t>
        </is>
      </c>
    </row>
    <row r="3">
      <c r="A3" s="1" t="inlineStr">
        <is>
          <t>Created By</t>
        </is>
      </c>
      <c r="B3" s="2" t="inlineStr">
        <is>
          <t>phucnguyenngoc</t>
        </is>
      </c>
    </row>
    <row r="4">
      <c r="A4" s="1" t="inlineStr">
        <is>
          <t>Creation Date</t>
        </is>
      </c>
      <c r="B4" s="21" t="n">
        <v>46323</v>
      </c>
    </row>
    <row r="5">
      <c r="A5" s="1" t="inlineStr">
        <is>
          <t>Reviewed By</t>
        </is>
      </c>
      <c r="B5" s="2" t="inlineStr"/>
    </row>
    <row r="6">
      <c r="A6" s="1" t="inlineStr">
        <is>
          <t>Reviewed Date</t>
        </is>
      </c>
      <c r="B6" s="2" t="n"/>
    </row>
    <row r="7">
      <c r="K7" s="4" t="inlineStr">
        <is>
          <t>Equivalence Partitioning</t>
        </is>
      </c>
      <c r="Q7" s="4" t="inlineStr">
        <is>
          <t>Kết quả đọc catalog</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56.5" customHeight="1">
      <c r="A9" s="7" t="inlineStr">
        <is>
          <t>TC-CATINDEX-01</t>
        </is>
      </c>
      <c r="B9" s="7" t="inlineStr">
        <is>
          <t>Giữ dữ liệu gốc và khóa chuẩn hóa thống nhất</t>
        </is>
      </c>
      <c r="C9" s="8" t="inlineStr">
        <is>
          <t>Checkout task 4.12; backend/.venv đã có dependencies. Chạy từ thư mục backend; dùng fixture tổng hợp, không cần DB/mạng, không dùng ảnh hoặc dữ liệu bệnh nhân.</t>
        </is>
      </c>
      <c r="D9" s="8" t="inlineStr">
        <is>
          <t>1. Mở terminal tại backend; kích hoạt môi trường .venv hoặc dùng .venv/Scripts/python.exe.
2. Chạy .venv/Scripts/python.exe -m pytest -vv tests/unit/test_catalog_index.py::test_index_preserves_original_fields_and_optional_values__AC8.
3. Đối chiếu assertion cho dữ liệu cụ thể và kết quả kỳ vọng dưới đây; lưu output vào evidence của task.</t>
        </is>
      </c>
      <c r="E9" s="8" t="inlineStr">
        <is>
          <t>ID1: Thuốc Đỏ 500MG / Hoạt Chất Đỏ / 500MG / Viên Nén; has_active_ingredients=False</t>
        </is>
      </c>
      <c r="F9" s="8" t="inlineStr">
        <is>
          <t>Giữ nguyên object/trường raw có dấu/hoa thường; name_key='thuoc do', strength_key='500 mg', dosage_form_key='vien nen'; không tự bật ánh xạ hoạt chất.</t>
        </is>
      </c>
      <c r="G9" s="8" t="inlineStr">
        <is>
          <t>Đạt toàn bộ assertion của 1 invocation trong lượt test sau sửa R1, 28/10/2026; evidence/test-R1-unit-architecture.xml và .log; không skip.</t>
        </is>
      </c>
      <c r="H9" s="7" t="inlineStr">
        <is>
          <t>Pass</t>
        </is>
      </c>
      <c r="I9" s="8" t="inlineStr">
        <is>
          <t>AC8 · EP (1) · tests/unit/test_catalog_index.py::test_index_preserves_original_fields_and_optional_values__AC8 · evidence/test-R1-unit-architecture.xml</t>
        </is>
      </c>
      <c r="K9" s="9" t="inlineStr">
        <is>
          <t>Nguồn catalog / snapshot</t>
        </is>
      </c>
      <c r="L9" s="10" t="inlineStr">
        <is>
          <t>Đầy đủ raw/dữ liệu có dấu
Optional null/blank
Cùng khóa, khác ID/strength/form
Trên 50 active và có deleted
Catalog rỗng thành công
Nguồn thay đổi/khôi phục giữa các lượt</t>
        </is>
      </c>
      <c r="M9" s="10" t="inlineStr">
        <is>
          <t>1
2
3
4
5
6</t>
        </is>
      </c>
      <c r="N9" s="10" t="inlineStr">
        <is>
          <t>Lỗi đọc nguồn/connection bị ngắt</t>
        </is>
      </c>
      <c r="O9" s="10" t="inlineStr">
        <is>
          <t>7</t>
        </is>
      </c>
      <c r="Q9" s="10" t="inlineStr">
        <is>
          <t>Đọc DB thành công?</t>
        </is>
      </c>
      <c r="R9" s="11" t="inlineStr">
        <is>
          <t>Yes</t>
        </is>
      </c>
      <c r="S9" s="11" t="inlineStr">
        <is>
          <t>Yes</t>
        </is>
      </c>
      <c r="T9" s="11" t="inlineStr">
        <is>
          <t>Yes</t>
        </is>
      </c>
      <c r="U9" s="11" t="inlineStr">
        <is>
          <t>No</t>
        </is>
      </c>
    </row>
    <row r="10" ht="156.5" customHeight="1">
      <c r="A10" s="7" t="inlineStr">
        <is>
          <t>TC-CATINDEX-02</t>
        </is>
      </c>
      <c r="B10" s="7" t="inlineStr">
        <is>
          <t>Giữ null, blank và không suy dữ liệu nguồn</t>
        </is>
      </c>
      <c r="C10" s="8" t="inlineStr">
        <is>
          <t>Checkout task 4.12; backend/.venv đã có dependencies. Chạy từ thư mục backend; dùng fixture tổng hợp, không cần DB/mạng, không dùng ảnh hoặc dữ liệu bệnh nhân.</t>
        </is>
      </c>
      <c r="D10" s="8" t="inlineStr">
        <is>
          <t>1. Mở terminal tại backend; kích hoạt môi trường .venv hoặc dùng .venv/Scripts/python.exe.
2. Chạy .venv/Scripts/python.exe -m pytest -vv tests/unit/test_catalog_index.py::test_index_preserves_original_fields_and_optional_values__AC8.
3. Đối chiếu assertion cho dữ liệu cụ thể và kết quả kỳ vọng dưới đây; lưu output vào evidence của task.</t>
        </is>
      </c>
      <c r="E10" s="8" t="inlineStr">
        <is>
          <t>ID2 Vitamin B12, optional=None; ID3 name='  ', ingredient='\t', strength=' '; ID4 name chứa 500MG nhưng strength_text=None</t>
        </is>
      </c>
      <c r="F10" s="8" t="inlineStr">
        <is>
          <t>Null vẫn None, blank thành khóa rỗng và không lập bucket ''; ID4 không tự điền strength_text nguồn; không crash.</t>
        </is>
      </c>
      <c r="G10" s="8" t="inlineStr">
        <is>
          <t>Đạt toàn bộ assertion của 1 invocation trong lượt test sau sửa R1, 28/10/2026; evidence/test-R1-unit-architecture.xml và .log; không skip.</t>
        </is>
      </c>
      <c r="H10" s="7" t="inlineStr">
        <is>
          <t>Pass</t>
        </is>
      </c>
      <c r="I10" s="8" t="inlineStr">
        <is>
          <t>AC8 · EP (2) · tests/unit/test_catalog_index.py::test_index_preserves_original_fields_and_optional_values__AC8 · evidence/test-R1-unit-architecture.xml</t>
        </is>
      </c>
      <c r="Q10" s="10" t="inlineStr">
        <is>
          <t>Có active?</t>
        </is>
      </c>
      <c r="R10" s="11" t="inlineStr">
        <is>
          <t>No</t>
        </is>
      </c>
      <c r="S10" s="11" t="inlineStr">
        <is>
          <t>Yes</t>
        </is>
      </c>
      <c r="T10" s="11" t="inlineStr">
        <is>
          <t>Yes</t>
        </is>
      </c>
      <c r="U10" s="11" t="inlineStr">
        <is>
          <t>-</t>
        </is>
      </c>
    </row>
    <row r="11" ht="140" customHeight="1">
      <c r="A11" s="7" t="inlineStr">
        <is>
          <t>TC-CATINDEX-03</t>
        </is>
      </c>
      <c r="B11" s="7" t="inlineStr">
        <is>
          <t>Giữ trạng thái parser và text hàm lượng thô</t>
        </is>
      </c>
      <c r="C11" s="8" t="inlineStr">
        <is>
          <t>Checkout task 4.12; backend/.venv đã có dependencies. Chạy từ thư mục backend; dùng fixture tổng hợp, không cần DB/mạng, không dùng ảnh hoặc dữ liệu bệnh nhân.</t>
        </is>
      </c>
      <c r="D11" s="8" t="inlineStr">
        <is>
          <t>1. Mở terminal tại backend; kích hoạt môi trường .venv hoặc dùng .venv/Scripts/python.exe.
2. Chạy .venv/Scripts/python.exe -m pytest -vv tests/unit/test_catalog_index.py::test_strength_keeps_parse_status_and_original_text__AC8.
3. Đối chiếu assertion cho dữ liệu cụ thể và kết quả kỳ vọng dưới đây; lưu output vào evidence của task.</t>
        </is>
      </c>
      <c r="E11" s="8" t="inlineStr">
        <is>
          <t>strength_text lần lượt 0,5 g; 5OOmg; 500mg 250mg</t>
        </is>
      </c>
      <c r="F11" s="8" t="inlineStr">
        <is>
          <t>Raw giữ nguyên; strength_key lần lượt 0.5 g / 5oomg / 500mg 250mg; trạng thái parsed / unparsed / ambiguous.</t>
        </is>
      </c>
      <c r="G11" s="8" t="inlineStr">
        <is>
          <t>Đạt toàn bộ assertion của 3 invocation trong lượt test sau sửa R1, 28/10/2026; evidence/test-R1-unit-architecture.xml và .log; không skip.</t>
        </is>
      </c>
      <c r="H11" s="7" t="inlineStr">
        <is>
          <t>Pass</t>
        </is>
      </c>
      <c r="I11" s="8" t="inlineStr">
        <is>
          <t>AC8 · EP (1) · tests/unit/test_catalog_index.py::test_strength_keeps_parse_status_and_original_text__AC8 · evidence/test-R1-unit-architecture.xml</t>
        </is>
      </c>
      <c r="Q11" s="10" t="inlineStr">
        <is>
          <t>Có deleted cùng nguồn?</t>
        </is>
      </c>
      <c r="R11" s="11" t="inlineStr">
        <is>
          <t>-</t>
        </is>
      </c>
      <c r="S11" s="11" t="inlineStr">
        <is>
          <t>No</t>
        </is>
      </c>
      <c r="T11" s="11" t="inlineStr">
        <is>
          <t>Yes</t>
        </is>
      </c>
      <c r="U11" s="11" t="inlineStr">
        <is>
          <t>-</t>
        </is>
      </c>
    </row>
    <row r="12" ht="140" customHeight="1">
      <c r="A12" s="7" t="inlineStr">
        <is>
          <t>TC-CATINDEX-04</t>
        </is>
      </c>
      <c r="B12" s="7" t="inlineStr">
        <is>
          <t>Giữ mọi ID khi trùng khóa tên và hoạt chất</t>
        </is>
      </c>
      <c r="C12" s="8" t="inlineStr">
        <is>
          <t>Checkout task 4.12; backend/.venv đã có dependencies. Chạy từ thư mục backend; dùng fixture tổng hợp, không cần DB/mạng, không dùng ảnh hoặc dữ liệu bệnh nhân.</t>
        </is>
      </c>
      <c r="D12" s="8" t="inlineStr">
        <is>
          <t>1. Mở terminal tại backend; kích hoạt môi trường .venv hoặc dùng .venv/Scripts/python.exe.
2. Chạy .venv/Scripts/python.exe -m pytest -vv tests/unit/test_catalog_index.py::test_equal_keys_keep_all_ids_forms_and_strengths__AC9.
3. Đối chiếu assertion cho dữ liệu cụ thể và kết quả kỳ vọng dưới đây; lưu output vào evidence của task.</t>
        </is>
      </c>
      <c r="E12" s="8" t="inlineStr">
        <is>
          <t>ID2 250 mg/Viên nang; ID1 500MG/Viên Nén, cùng Thuốc Đỏ</t>
        </is>
      </c>
      <c r="F12" s="8" t="inlineStr">
        <is>
          <t>name_to_ids['thuoc do']=(1,2); ingredient_to_ids giữ cả ID; mỗi entry giữ strength/form riêng và snapshot frozen.</t>
        </is>
      </c>
      <c r="G12" s="8" t="inlineStr">
        <is>
          <t>Đạt toàn bộ assertion của 1 invocation trong lượt test sau sửa R1, 28/10/2026; evidence/test-R1-unit-architecture.xml và .log; không skip.</t>
        </is>
      </c>
      <c r="H12" s="7" t="inlineStr">
        <is>
          <t>Pass</t>
        </is>
      </c>
      <c r="I12" s="8" t="inlineStr">
        <is>
          <t>AC9 · EP (3) · tests/unit/test_catalog_index.py::test_equal_keys_keep_all_ids_forms_and_strengths__AC9 · evidence/test-R1-unit-architecture.xml</t>
        </is>
      </c>
      <c r="Q12" s="6" t="inlineStr">
        <is>
          <t>Action</t>
        </is>
      </c>
      <c r="R12" s="5" t="inlineStr">
        <is>
          <t>R1</t>
        </is>
      </c>
      <c r="S12" s="5" t="inlineStr">
        <is>
          <t>R2</t>
        </is>
      </c>
      <c r="T12" s="5" t="inlineStr">
        <is>
          <t>R3</t>
        </is>
      </c>
      <c r="U12" s="5" t="inlineStr">
        <is>
          <t>R4</t>
        </is>
      </c>
    </row>
    <row r="13" ht="140" customHeight="1">
      <c r="A13" s="7" t="inlineStr">
        <is>
          <t>TC-CATINDEX-05</t>
        </is>
      </c>
      <c r="B13" s="7" t="inlineStr">
        <is>
          <t>Cách ly snapshot với collection truyền từ ngoài</t>
        </is>
      </c>
      <c r="C13" s="8" t="inlineStr">
        <is>
          <t>Checkout task 4.12; backend/.venv đã có dependencies. Chạy từ thư mục backend; dùng fixture tổng hợp, không cần DB/mạng, không dùng ảnh hoặc dữ liệu bệnh nhân.</t>
        </is>
      </c>
      <c r="D13" s="8" t="inlineStr">
        <is>
          <t>1. Mở terminal tại backend; kích hoạt môi trường .venv hoặc dùng .venv/Scripts/python.exe.
2. Chạy .venv/Scripts/python.exe -m pytest -vv tests/unit/test_catalog_index.py::test_index_copies_external_mapping_collections__AC9.
3. Đối chiếu assertion cho dữ liệu cụ thể và kết quả kỳ vọng dưới đây; lưu output vào evidence của task.</t>
        </is>
      </c>
      <c r="E13" s="8" t="inlineStr">
        <is>
          <t>mapping={'same':[1,2]}, parts=['500 mg']; sau dựng append/clear collection nguồn</t>
        </is>
      </c>
      <c r="F13" s="8" t="inlineStr">
        <is>
          <t>Mapping và tuple bên trong vẫn {'same':(1,2)} và ('500 mg',); collection nguồn không sửa được snapshot.</t>
        </is>
      </c>
      <c r="G13" s="8" t="inlineStr">
        <is>
          <t>Đạt toàn bộ assertion của 1 invocation trong lượt test sau sửa R1, 28/10/2026; evidence/test-R1-unit-architecture.xml và .log; không skip.</t>
        </is>
      </c>
      <c r="H13" s="7" t="inlineStr">
        <is>
          <t>Pass</t>
        </is>
      </c>
      <c r="I13" s="8" t="inlineStr">
        <is>
          <t>AC9 · Đoán lỗi tham chiếu mutable · tests/unit/test_catalog_index.py::test_index_copies_external_mapping_collections__AC9 · evidence/test-R1-unit-architecture.xml</t>
        </is>
      </c>
      <c r="Q13" s="10" t="inlineStr">
        <is>
          <t>Trả index rỗng thành công</t>
        </is>
      </c>
      <c r="R13" s="11" t="inlineStr">
        <is>
          <t>X</t>
        </is>
      </c>
      <c r="S13" s="11" t="inlineStr"/>
      <c r="T13" s="11" t="inlineStr"/>
      <c r="U13" s="11" t="inlineStr"/>
    </row>
    <row r="14" ht="156.5" customHeight="1">
      <c r="A14" s="7" t="inlineStr">
        <is>
          <t>TC-CATINDEX-06</t>
        </is>
      </c>
      <c r="B14" s="7" t="inlineStr">
        <is>
          <t>Dựng thứ tự ổn định và đọc lại từng invocation</t>
        </is>
      </c>
      <c r="C14" s="8" t="inlineStr">
        <is>
          <t>Checkout task 4.12; backend/.venv đã có dependencies. Chạy từ thư mục backend; dùng fixture tổng hợp, không cần DB/mạng, không dùng ảnh hoặc dữ liệu bệnh nhân.</t>
        </is>
      </c>
      <c r="D14" s="8" t="inlineStr">
        <is>
          <t>1. Mở terminal tại backend; kích hoạt môi trường .venv hoặc dùng .venv/Scripts/python.exe.
2. Chạy .venv/Scripts/python.exe -m pytest -vv tests/unit/test_catalog_index.py::test_build_order_is_stable_and_loader_reads_each_time__AC11.
3. Đối chiếu assertion cho dữ liệu cụ thể và kết quả kỳ vọng dưới đây; lưu output vào evidence của task.</t>
        </is>
      </c>
      <c r="E14" s="8" t="inlineStr">
        <is>
          <t>Dữ liệu [ID4,ID1] rồi đổi thành ID2; hai UoW khác nhau; builder input đảo thứ tự</t>
        </is>
      </c>
      <c r="F14" s="8" t="inlineStr">
        <is>
          <t>Builder sort ID; reader được gọi hai lần với hai UoW; lần hai có dữ liệu mới, snapshot lần một giữ nguyên; [] cho entries=().</t>
        </is>
      </c>
      <c r="G14" s="8" t="inlineStr">
        <is>
          <t>Đạt toàn bộ assertion của 1 invocation trong lượt test sau sửa R1, 28/10/2026; evidence/test-R1-unit-architecture.xml và .log; không skip.</t>
        </is>
      </c>
      <c r="H14" s="7" t="inlineStr">
        <is>
          <t>Pass</t>
        </is>
      </c>
      <c r="I14" s="8" t="inlineStr">
        <is>
          <t>AC11 · EP (5,6) · tests/unit/test_catalog_index.py::test_build_order_is_stable_and_loader_reads_each_time__AC11 · evidence/test-R1-unit-architecture.xml</t>
        </is>
      </c>
      <c r="Q14" s="10" t="inlineStr">
        <is>
          <t>Trả đủ và chỉ active</t>
        </is>
      </c>
      <c r="R14" s="11" t="inlineStr"/>
      <c r="S14" s="11" t="inlineStr">
        <is>
          <t>X</t>
        </is>
      </c>
      <c r="T14" s="11" t="inlineStr">
        <is>
          <t>X</t>
        </is>
      </c>
      <c r="U14" s="11" t="inlineStr"/>
    </row>
    <row r="15" ht="189.5" customHeight="1">
      <c r="A15" s="7" t="inlineStr">
        <is>
          <t>TC-CATINDEX-07</t>
        </is>
      </c>
      <c r="B15" s="7" t="inlineStr">
        <is>
          <t>Truyền lỗi nguồn đọc sau lần thành công</t>
        </is>
      </c>
      <c r="C15" s="8" t="inlineStr">
        <is>
          <t>Checkout task 4.12; backend/.venv đã có dependencies. Chạy từ thư mục backend; dùng fixture tổng hợp, không cần DB/mạng, không dùng ảnh hoặc dữ liệu bệnh nhân.</t>
        </is>
      </c>
      <c r="D15" s="8" t="inlineStr">
        <is>
          <t>1. Mở terminal tại backend; kích hoạt môi trường .venv hoặc dùng .venv/Scripts/python.exe.
2. Chạy .venv/Scripts/python.exe -m pytest -vv tests/unit/test_catalog_index.py::test_read_failure_after_success_propagates_without_fallback__AC11 tests/unit/test_catalog_index.py::test_lazy_read_failure_is_not_converted_to_partial_success__AC11.
3. Đối chiếu assertion cho dữ liệu cụ thể và kết quả kỳ vọng dưới đây; lưu output vào evidence của task.</t>
        </is>
      </c>
      <c r="E15" s="8" t="inlineStr">
        <is>
          <t>Reader trả ID1 rồi ném RuntimeError('synthetic read failure'); generator yield ID1 rồi ném 'interrupted read'</t>
        </is>
      </c>
      <c r="F15" s="8" t="inlineStr">
        <is>
          <t>Caller nhận lỗi gốc, không trả snapshot cũ, rỗng hay kết quả một phần.</t>
        </is>
      </c>
      <c r="G15" s="8" t="inlineStr">
        <is>
          <t>Đạt toàn bộ assertion của 2 invocation trong lượt test sau sửa R1, 28/10/2026; evidence/test-R1-unit-architecture.xml và .log; không skip.</t>
        </is>
      </c>
      <c r="H15" s="7" t="inlineStr">
        <is>
          <t>Pass</t>
        </is>
      </c>
      <c r="I15" s="8" t="inlineStr">
        <is>
          <t>AC11 · EP (7) · Decision Table Kết quả đọc catalog (R4) · tests/unit/test_catalog_index.py::test_read_failure_after_success_propagates_without_fallback__AC11; tests/unit/test_catalog_index.py::test_lazy_read_failure_is_not_converted_to_partial_success__AC11 · evidence/test-R1-unit-architecture.xml</t>
        </is>
      </c>
      <c r="Q15" s="10" t="inlineStr">
        <is>
          <t>Truyền lỗi, không fallback</t>
        </is>
      </c>
      <c r="R15" s="11" t="inlineStr"/>
      <c r="S15" s="11" t="inlineStr"/>
      <c r="T15" s="11" t="inlineStr"/>
      <c r="U15" s="11" t="inlineStr">
        <is>
          <t>X</t>
        </is>
      </c>
    </row>
    <row r="16" ht="140" customHeight="1">
      <c r="A16" s="7" t="inlineStr">
        <is>
          <t>TC-CATINDEX-08</t>
        </is>
      </c>
      <c r="B16" s="7" t="inlineStr">
        <is>
          <t>Dùng chung facade cho hai consumer nội bộ</t>
        </is>
      </c>
      <c r="C16" s="8" t="inlineStr">
        <is>
          <t>Checkout task 4.12; backend/.venv đã có dependencies. Chạy từ thư mục backend; dùng fixture tổng hợp, không cần DB/mạng, không dùng ảnh hoặc dữ liệu bệnh nhân.</t>
        </is>
      </c>
      <c r="D16" s="8" t="inlineStr">
        <is>
          <t>1. Mở terminal tại backend; kích hoạt môi trường .venv hoặc dùng .venv/Scripts/python.exe.
2. Chạy .venv/Scripts/python.exe -m pytest -vv tests/unit/test_catalog_index.py::test_two_consumers_share_catalog_facade_contract__AC14.
3. Đối chiếu assertion cho dữ liệu cụ thể và kết quả kỳ vọng dưới đây; lưu output vào evidence của task.</t>
        </is>
      </c>
      <c r="E16" s="8" t="inlineStr">
        <is>
          <t>Consumer matching/search; query THUỐC ĐỎ 500mg và thuốc đỏ 500MG; hai UoW; reader lần ID1 rồi ID2</t>
        </is>
      </c>
      <c r="F16" s="8" t="inlineStr">
        <is>
          <t>Cùng DTO/hàm facade; query chuẩn hóa bằng nhau; reader nhận UoW tương ứng; index phản ánh lần đọc mới. Không cần endpoint/UI OCR.</t>
        </is>
      </c>
      <c r="G16" s="8" t="inlineStr">
        <is>
          <t>Đạt toàn bộ assertion của 1 invocation trong lượt test sau sửa R1, 28/10/2026; evidence/test-R1-unit-architecture.xml và .log; không skip.</t>
        </is>
      </c>
      <c r="H16" s="7" t="inlineStr">
        <is>
          <t>Pass</t>
        </is>
      </c>
      <c r="I16" s="8" t="inlineStr">
        <is>
          <t>AC14 · EP (6) · tests/unit/test_catalog_index.py::test_two_consumers_share_catalog_facade_contract__AC14 · evidence/test-R1-unit-architecture.xml</t>
        </is>
      </c>
    </row>
    <row r="17" ht="156.5" customHeight="1">
      <c r="A17" s="7" t="inlineStr">
        <is>
          <t>TC-CATINDEX-09</t>
        </is>
      </c>
      <c r="B17" s="7" t="inlineStr">
        <is>
          <t>Không lưu OCR hoặc ghi catalog khi normalize/build</t>
        </is>
      </c>
      <c r="C17" s="8" t="inlineStr">
        <is>
          <t>Checkout task 4.12; backend/.venv đã có dependencies. Chạy từ thư mục backend; dùng fixture tổng hợp, không cần DB/mạng, không dùng ảnh hoặc dữ liệu bệnh nhân.</t>
        </is>
      </c>
      <c r="D17" s="8" t="inlineStr">
        <is>
          <t>1. Mở terminal tại backend; kích hoạt môi trường .venv hoặc dùng .venv/Scripts/python.exe.
2. Chạy .venv/Scripts/python.exe -m pytest -vv tests/unit/test_catalog_index.py::test_normalize_and_build_have_no_ocr_persistence_or_external_calls__AC13.
3. Đối chiếu assertion cho dữ liệu cụ thể và kết quả kỳ vọng dưới đây; lưu output vào evidence của task.</t>
        </is>
      </c>
      <c r="E17" s="8" t="inlineStr">
        <is>
          <t>SYNTHETIC_OCR_MARKER 500mg; guard file/network và SqlCatalog create/update/soft_delete/list_for_index</t>
        </is>
      </c>
      <c r="F17" s="8" t="inlineStr">
        <is>
          <t>Normalize/build thuần chạy qua guard; giữ raw và ID; không gọi writer/dịch vụ ngoài; marker không nằm stdout/stderr/caplog.</t>
        </is>
      </c>
      <c r="G17" s="8" t="inlineStr">
        <is>
          <t>Đạt toàn bộ assertion của 1 invocation trong lượt test sau sửa R1, 28/10/2026; evidence/test-R1-unit-architecture.xml và .log; không skip.</t>
        </is>
      </c>
      <c r="H17" s="7" t="inlineStr">
        <is>
          <t>Pass</t>
        </is>
      </c>
      <c r="I17" s="8" t="inlineStr">
        <is>
          <t>AC13 · Đoán lỗi riêng tư và hiệu ứng phụ · tests/unit/test_catalog_index.py::test_normalize_and_build_have_no_ocr_persistence_or_external_calls__AC13 · evidence/test-R1-unit-architecture.xml</t>
        </is>
      </c>
    </row>
    <row r="18" ht="189.5" customHeight="1">
      <c r="A18" s="7" t="inlineStr">
        <is>
          <t>TC-CATINDEX-10</t>
        </is>
      </c>
      <c r="B18" s="7" t="inlineStr">
        <is>
          <t>Đọc toàn bộ catalog active vượt giới hạn search</t>
        </is>
      </c>
      <c r="C18"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18" s="8" t="inlineStr">
        <is>
          <t>1. Mở terminal tại backend; kích hoạt môi trường .venv hoặc dùng .venv/Scripts/python.exe.
2. Chạy .venv/Scripts/python.exe -m pytest -vv tests/integration/test_catalog_index.py::test_loads_all_active_medications_above_search_limit__AC10.
3. Đối chiếu assertion cho dữ liệu cụ thể và kết quả kỳ vọng dưới đây; lưu output vào evidence của task.</t>
        </is>
      </c>
      <c r="E18" s="8" t="inlineStr">
        <is>
          <t>PostgreSQL local: &gt;=60 active thêm vào cùng seed, một deleted; trường raw/null, ánh xạ xác minh</t>
        </is>
      </c>
      <c r="F18" s="8" t="inlineStr">
        <is>
          <t>Reader chạy bằng api_role; tập ID bằng toàn bộ active thực tế, sort ID, đủ dữ liệu nguồn, không có deleted, không cắt ở 50.</t>
        </is>
      </c>
      <c r="G18" s="8" t="inlineStr">
        <is>
          <t>Đạt toàn bộ assertion của 1 invocation trong lượt test sau sửa R1, 28/10/2026; evidence/test-R1-catalog-integration.xml và .log; không skip.</t>
        </is>
      </c>
      <c r="H18" s="7" t="inlineStr">
        <is>
          <t>Pass</t>
        </is>
      </c>
      <c r="I18" s="8" t="inlineStr">
        <is>
          <t>AC10 · EP (4) · Decision Table Kết quả đọc catalog (R2,R3) · tests/integration/test_catalog_index.py::test_loads_all_active_medications_above_search_limit__AC10 · evidence/test-R1-catalog-integration.xml</t>
        </is>
      </c>
    </row>
    <row r="19" ht="189.5" customHeight="1">
      <c r="A19" s="7" t="inlineStr">
        <is>
          <t>TC-CATINDEX-11</t>
        </is>
      </c>
      <c r="B19" s="7" t="inlineStr">
        <is>
          <t>Phân biệt catalog rỗng thành công với lỗi đọc</t>
        </is>
      </c>
      <c r="C19"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19" s="8" t="inlineStr">
        <is>
          <t>1. Mở terminal tại backend; kích hoạt môi trường .venv hoặc dùng .venv/Scripts/python.exe.
2. Chạy .venv/Scripts/python.exe -m pytest -vv tests/integration/test_catalog_index.py::test_empty_catalog_is_a_successful_empty_index__AC10.
3. Đối chiếu assertion cho dữ liệu cụ thể và kết quả kỳ vọng dưới đây; lưu output vào evidence của task.</t>
        </is>
      </c>
      <c r="E19" s="8" t="inlineStr">
        <is>
          <t>Connection api_role riêng READ COMMITTED; tạm soft-delete toàn bộ active trong transaction rồi rollback; không SET ROLE qua postgres local.</t>
        </is>
      </c>
      <c r="F19" s="8" t="inlineStr">
        <is>
          <t>Loader trả index rỗng thành công; rollback trong finally; ID/deleted_at được phục hồi đầy đủ sau test, không commit thao tác làm rỗng.</t>
        </is>
      </c>
      <c r="G19" s="8" t="inlineStr">
        <is>
          <t>Đạt toàn bộ assertion của 1 invocation trong lượt test sau sửa R1, 28/10/2026; evidence/test-R1-catalog-integration.xml và .log; không skip.</t>
        </is>
      </c>
      <c r="H19" s="7" t="inlineStr">
        <is>
          <t>Pass</t>
        </is>
      </c>
      <c r="I19" s="8" t="inlineStr">
        <is>
          <t>AC10 · EP (5) · Decision Table Kết quả đọc catalog (R1) · tests/integration/test_catalog_index.py::test_empty_catalog_is_a_successful_empty_index__AC10 · evidence/test-R1-catalog-integration.xml</t>
        </is>
      </c>
    </row>
    <row r="20" ht="189.5" customHeight="1">
      <c r="A20" s="7" t="inlineStr">
        <is>
          <t>TC-CATINDEX-12</t>
        </is>
      </c>
      <c r="B20" s="7" t="inlineStr">
        <is>
          <t>Thấy ngay thay đổi catalog đã commit ở lượt gọi mới</t>
        </is>
      </c>
      <c r="C20"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20" s="8" t="inlineStr">
        <is>
          <t>1. Mở terminal tại backend; kích hoạt môi trường .venv hoặc dùng .venv/Scripts/python.exe.
2. Chạy .venv/Scripts/python.exe -m pytest -vv tests/integration/test_catalog_index.py::test_committed_catalog_changes_are_visible_next_call__AC11.
3. Đối chiếu assertion cho dữ liệu cụ thể và kết quả kỳ vọng dưới đây; lưu output vào evidence của task.</t>
        </is>
      </c>
      <c r="E20" s="8" t="inlineStr">
        <is>
          <t>A đọc active; writer thêm/sửa name, ingredient, strength, form và soft-delete; B đọc bằng UoW mới; restore; C đọc mới</t>
        </is>
      </c>
      <c r="F20" s="8" t="inlineStr">
        <is>
          <t>B phản ánh đầy đủ add/update/delete; C có ID restore; cùng process, không restart/sleep/TTL; A không bị đổi.</t>
        </is>
      </c>
      <c r="G20" s="8" t="inlineStr">
        <is>
          <t>Đạt toàn bộ assertion của 1 invocation trong lượt test sau sửa R1, 28/10/2026; evidence/test-R1-catalog-integration.xml và .log; không skip.</t>
        </is>
      </c>
      <c r="H20" s="7" t="inlineStr">
        <is>
          <t>Pass</t>
        </is>
      </c>
      <c r="I20" s="8" t="inlineStr">
        <is>
          <t>AC11 · EP (6) · Chuyển trạng thái active → sửa → soft-delete → restore; loại soft-delete khỏi lượt chọn mới · tests/integration/test_catalog_index.py::test_committed_catalog_changes_are_visible_next_call__AC11 · evidence/test-R1-catalog-integration.xml</t>
        </is>
      </c>
    </row>
    <row r="21" ht="189.5" customHeight="1">
      <c r="A21" s="7" t="inlineStr">
        <is>
          <t>TC-CATINDEX-13</t>
        </is>
      </c>
      <c r="B21" s="7" t="inlineStr">
        <is>
          <t>Giữ snapshot cũ và thứ tự ổn định trong snapshot DB</t>
        </is>
      </c>
      <c r="C21"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21" s="8" t="inlineStr">
        <is>
          <t>1. Mở terminal tại backend; kích hoạt môi trường .venv hoặc dùng .venv/Scripts/python.exe.
2. Chạy .venv/Scripts/python.exe -m pytest -vv tests/integration/test_catalog_index.py::test_same_snapshot_has_stable_order_and_old_index_is_unchanged__AC11.
3. Đối chiếu assertion cho dữ liệu cụ thể và kết quả kỳ vọng dưới đây; lưu output vào evidence của task.</t>
        </is>
      </c>
      <c r="E21" s="8" t="inlineStr">
        <is>
          <t>Đọc lặp catalog trong cùng transaction REPEATABLE READ không có writer; thử sửa mapping/object snapshot thứ hai.</t>
        </is>
      </c>
      <c r="F21" s="8" t="inlineStr">
        <is>
          <t>Hai index khác object nhưng bằng nội dung/thứ tự, ID và bucket được sort; sửa mapping gây TypeError, sửa DTO gây FrozenInstanceError; snapshot thứ nhất không đổi. Snapshot cũ sau B/C được kiểm thêm ở TC-CATINDEX-12.</t>
        </is>
      </c>
      <c r="G21" s="8" t="inlineStr">
        <is>
          <t>Đạt toàn bộ assertion của 1 invocation trong lượt test sau sửa R1, 28/10/2026; evidence/test-R1-catalog-integration.xml và .log; không skip.</t>
        </is>
      </c>
      <c r="H21" s="7" t="inlineStr">
        <is>
          <t>Pass</t>
        </is>
      </c>
      <c r="I21" s="8" t="inlineStr">
        <is>
          <t>AC11 · EP (6) · tests/integration/test_catalog_index.py::test_same_snapshot_has_stable_order_and_old_index_is_unchanged__AC11 · evidence/test-R1-catalog-integration.xml</t>
        </is>
      </c>
    </row>
    <row r="22" ht="189.5" customHeight="1">
      <c r="A22" s="7" t="inlineStr">
        <is>
          <t>TC-CATINDEX-14</t>
        </is>
      </c>
      <c r="B22" s="7" t="inlineStr">
        <is>
          <t>Không trả cache/rỗng khi connection PostgreSQL thật bị ngắt</t>
        </is>
      </c>
      <c r="C22"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22" s="8" t="inlineStr">
        <is>
          <t>1. Mở terminal tại backend; kích hoạt môi trường .venv hoặc dùng .venv/Scripts/python.exe.
2. Chạy .venv/Scripts/python.exe -m pytest -vv tests/integration/test_catalog_index.py::test_real_read_error_after_success_is_not_empty_or_cached__AC10_AC11.
3. Đối chiếu assertion cho dữ liệu cụ thể và kết quả kỳ vọng dưới đây; lưu output vào evidence của task.</t>
        </is>
      </c>
      <c r="E22" s="8" t="inlineStr">
        <is>
          <t>Loader thành công; mở connection api_role riêng, lấy pg_backend_pid; admin pg_terminate_backend đúng PID đó</t>
        </is>
      </c>
      <c r="F22" s="8" t="inlineStr">
        <is>
          <t>Lượt đọc trên connection bị ngắt phát sinh lỗi DBAPI/OperationalError; không thành công rỗng/snapshot cũ; đóng/dispose tài nguyên test-owned.</t>
        </is>
      </c>
      <c r="G22" s="8" t="inlineStr">
        <is>
          <t>Đạt toàn bộ assertion của 1 invocation trong lượt test sau sửa R1, 28/10/2026; evidence/test-R1-catalog-integration.xml và .log; không skip.</t>
        </is>
      </c>
      <c r="H22" s="7" t="inlineStr">
        <is>
          <t>Pass</t>
        </is>
      </c>
      <c r="I22" s="8" t="inlineStr">
        <is>
          <t>AC10, AC11 · EP (7) · Decision Table Kết quả đọc catalog (R4) · tests/integration/test_catalog_index.py::test_real_read_error_after_success_is_not_empty_or_cached__AC10_AC11 · evidence/test-R1-catalog-integration.xml</t>
        </is>
      </c>
    </row>
    <row r="23" ht="156.5" customHeight="1">
      <c r="A23" s="7" t="inlineStr">
        <is>
          <t>TC-CATINDEX-15</t>
        </is>
      </c>
      <c r="B23" s="7" t="inlineStr">
        <is>
          <t>Giữ ingest Unicode và ranh giới module</t>
        </is>
      </c>
      <c r="C23" s="8" t="inlineStr">
        <is>
          <t>Checkout task 4.12; backend/.venv đã có dependencies. Chạy từ thư mục backend; dùng fixture tổng hợp, không cần DB/mạng, không dùng ảnh hoặc dữ liệu bệnh nhân.</t>
        </is>
      </c>
      <c r="D23" s="8" t="inlineStr">
        <is>
          <t>1. Mở terminal tại backend; kích hoạt môi trường .venv hoặc dùng .venv/Scripts/python.exe.
2. Chạy .venv/Scripts/python.exe -m pytest -vv tests/unit/test_catalog_sync.py::test_ingest_preserves_vietnamese_case_accents_and_nfc__AC12 tests/architecture.
3. Đối chiếu assertion cho dữ liệu cụ thể và kết quả kỳ vọng dưới đây; lưu output vào evidence của task.</t>
        </is>
      </c>
      <c r="E23" s="8" t="inlineStr">
        <is>
          <t>NFD(THUỐC ĐỎ B12), Cao Đinh lăng, source_ref=' VD-VN-1 '; toàn bộ architecture tests</t>
        </is>
      </c>
      <c r="F23" s="8" t="inlineStr">
        <is>
          <t>Ingest trả NFC có dấu, giữ hoa thường; source_ref='VD-VN-1'; architecture không có dependency mới sai ma trận/route bypass.</t>
        </is>
      </c>
      <c r="G23" s="8" t="inlineStr">
        <is>
          <t>Đạt toàn bộ assertion của 16 invocation trong lượt test sau sửa R1, 28/10/2026; evidence/test-R1-unit-architecture.xml và .log; không skip.</t>
        </is>
      </c>
      <c r="H23" s="7" t="inlineStr">
        <is>
          <t>Pass</t>
        </is>
      </c>
      <c r="I23" s="8" t="inlineStr">
        <is>
          <t>AC12 · Hồi quy ingest và ranh giới module · tests/unit/test_catalog_sync.py::test_ingest_preserves_vietnamese_case_accents_and_nfc__AC12; tests/architecture · evidence/test-R1-unit-architecture.xml</t>
        </is>
      </c>
    </row>
    <row r="24" ht="189.5" customHeight="1">
      <c r="A24" s="7" t="inlineStr">
        <is>
          <t>TC-CATINDEX-16</t>
        </is>
      </c>
      <c r="B24" s="7" t="inlineStr">
        <is>
          <t>Giữ search q/limit/Unicode/wildcard/thứ tự và hai route</t>
        </is>
      </c>
      <c r="C24"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24" s="8" t="inlineStr">
        <is>
          <t>1. Mở terminal tại backend; kích hoạt môi trường .venv hoặc dùng .venv/Scripts/python.exe.
2. Chạy .venv/Scripts/python.exe -m pytest -vv tests/integration/test_catalog_search.py.
3. Đối chiếu assertion cho dữ liệu cụ thể và kết quả kỳ vọng dưới đây; lưu output vào evidence của task.</t>
        </is>
      </c>
      <c r="E24" s="8" t="inlineStr">
        <is>
          <t>GET /catalog/medications và /medications/search: q độ dài 0,1,100,101; limit 0,1,50,51; 100%, a_b, a\b; q có 2 space; null/deleted</t>
        </is>
      </c>
      <c r="F24" s="8" t="inlineStr">
        <is>
          <t>Hai route giữ contract: 200 cho q 1/100 ký tự, limit 1/50; 422 cho q rỗng/101 và limit 0/51; wildcard literal, trim ngoài giữ space trong; prefix/name order; null giữ null và deleted bị loại.</t>
        </is>
      </c>
      <c r="G24" s="8" t="inlineStr">
        <is>
          <t>Đạt toàn bộ assertion của 43 invocation trong lượt test sau sửa R1, 28/10/2026; evidence/test-R1-catalog-integration.xml và .log; không skip.</t>
        </is>
      </c>
      <c r="H24" s="7" t="inlineStr">
        <is>
          <t>Pass</t>
        </is>
      </c>
      <c r="I24" s="8" t="inlineStr">
        <is>
          <t>AC12 · BVA q (min-1=0,min=1,max=100,max+1=101); limit (min-1=0,min=1,max=50,max+1=51) · Hồi quy contract · tests/integration/test_catalog_search.py · evidence/test-R1-catalog-integration.xml</t>
        </is>
      </c>
    </row>
    <row r="25" ht="156.5" customHeight="1">
      <c r="A25" s="7" t="inlineStr">
        <is>
          <t>TC-CATINDEX-17</t>
        </is>
      </c>
      <c r="B25" s="7" t="inlineStr">
        <is>
          <t>Giữ nhóm cạnh tranh nghi ngờ trong cả ba khóa index</t>
        </is>
      </c>
      <c r="C25" s="8" t="inlineStr">
        <is>
          <t>Checkout task 4.12; backend/.venv đã có dependencies. Chạy từ thư mục backend; dùng fixture tổng hợp, không cần DB/mạng, không dùng ảnh hoặc dữ liệu bệnh nhân.</t>
        </is>
      </c>
      <c r="D25" s="8" t="inlineStr">
        <is>
          <t>1. Mở terminal tại backend; kích hoạt môi trường .venv hoặc dùng .venv/Scripts/python.exe.
2. Chạy .venv/Scripts/python.exe -m pytest -vv tests/unit/test_catalog_index.py::test_index_keeps_corrupted_competing_strength_in_every_key__AC6_AC8.
3. Đối chiếu assertion cho dữ liệu cụ thể và kết quả kỳ vọng dưới đây; lưu output vào evidence của task.</t>
        </is>
      </c>
      <c r="E25" s="8" t="inlineStr">
        <is>
          <t>DTO có name/active_ingredient/strength_text = 'Thuốc Mẫu 500mg {bad}'; bad = O.5g, O.5 g, l0mg, l0 mg; ID=1.</t>
        </is>
      </c>
      <c r="F25" s="8" t="inlineStr">
        <is>
          <t>Giữ DTO raw/ID; cả ba kết quả unparsed, không tách strength; strength_key giữ toàn text; bucket tên/hoạt chất chứa đúng khóa đầy đủ và ID gốc.</t>
        </is>
      </c>
      <c r="G25" s="8" t="inlineStr">
        <is>
          <t>Đạt toàn bộ assertion của 4 invocation trong lượt test sau sửa R1, 28/10/2026; evidence/test-R1-unit-architecture.xml và .log; không skip.</t>
        </is>
      </c>
      <c r="H25" s="7" t="inlineStr">
        <is>
          <t>Pass</t>
        </is>
      </c>
      <c r="I25" s="8" t="inlineStr">
        <is>
          <t>AC6 · AC8 · EP (1) · Regression R1/High đã sửa, chờ review lại · tests/unit/test_catalog_index.py::test_index_keeps_corrupted_competing_strength_in_every_key__AC6_AC8 · evidence/test-R1-unit-architecture.xml</t>
        </is>
      </c>
    </row>
    <row r="26" ht="189.5" customHeight="1">
      <c r="A26" s="7" t="inlineStr">
        <is>
          <t>TC-CATINDEX-18</t>
        </is>
      </c>
      <c r="B26" s="7" t="inlineStr">
        <is>
          <t>Đọc catalog thật có nhóm cạnh tranh nghi ngờ qua api_role</t>
        </is>
      </c>
      <c r="C26" s="8" t="inlineStr">
        <is>
          <t>Supabase PostgreSQL local riêng cho test đã reset sạch; backend/.venv đã có dependencies. Chạy từ backend; dùng TEST_ADMIN_DATABASE_URL/TEST_API_ROLE_PASSWORD theo tests/integration/conftest.py. Không chạy trên DB deploy/chung; chạy tuần tự vì ca catalog rỗng rollback toàn bộ catalog active.</t>
        </is>
      </c>
      <c r="D26" s="8" t="inlineStr">
        <is>
          <t>1. Mở terminal tại backend; kích hoạt môi trường .venv hoặc dùng .venv/Scripts/python.exe.
2. Chạy .venv/Scripts/python.exe -m pytest -vv tests/integration/test_catalog_index.py::test_corrupted_strength_from_database_stays_unparsed__AC6_AC8.
3. Đối chiếu assertion cho dữ liệu cụ thể và kết quả kỳ vọng dưới đây; lưu output vào evidence của task.</t>
        </is>
      </c>
      <c r="E26" s="8" t="inlineStr">
        <is>
          <t>12 tổ hợp: O.5g, o,5 G, O.5 g, l0mg, L0 MG, l0 mg đứng trước/sau 500mg; INSERT tên Thuốc Mẫu + tag, raw_active_ingredient Vitamin B12; UPDATE strength_text cùng chuỗi.</t>
        </is>
      </c>
      <c r="F26" s="8" t="inlineStr">
        <is>
          <t>Reader đăng nhập api_role; tên/hoạt chất/hàm lượng raw giữ nguyên và mapping chưa xác minh vẫn false; ba kết quả unparsed/None/parts rỗng; bucket giữ cả nhóm nghi ngờ, không chọn riêng 500mg.</t>
        </is>
      </c>
      <c r="G26" s="8" t="inlineStr">
        <is>
          <t>Đạt toàn bộ assertion của 12 invocation trong lượt test sau sửa R1, 28/10/2026; evidence/test-R1-catalog-integration.xml và .log; không skip.</t>
        </is>
      </c>
      <c r="H26" s="7" t="inlineStr">
        <is>
          <t>Pass</t>
        </is>
      </c>
      <c r="I26" s="8" t="inlineStr">
        <is>
          <t>AC6 · AC8 · EP (1) · Regression R1 qua PostgreSQL thật · tests/integration/test_catalog_index.py::test_corrupted_strength_from_database_stays_unparsed__AC6_AC8 · evidence/test-R1-catalog-integration.xml</t>
        </is>
      </c>
    </row>
    <row r="27"/>
    <row r="28"/>
    <row r="29">
      <c r="G29" s="12" t="inlineStr">
        <is>
          <t>Pass</t>
        </is>
      </c>
      <c r="H29" s="13">
        <f>COUNTIF(H9:H26,"Pass")</f>
        <v/>
      </c>
    </row>
    <row r="30">
      <c r="G30" s="12" t="inlineStr">
        <is>
          <t>Fail</t>
        </is>
      </c>
      <c r="H30" s="13">
        <f>COUNTIF(H9:H26,"Fail")</f>
        <v/>
      </c>
    </row>
    <row r="31">
      <c r="G31" s="12" t="inlineStr">
        <is>
          <t>Pending</t>
        </is>
      </c>
      <c r="H31" s="13">
        <f>COUNTIF(H9:H26,"Pending")</f>
        <v/>
      </c>
    </row>
    <row r="32">
      <c r="G32" s="12" t="inlineStr">
        <is>
          <t>Total</t>
        </is>
      </c>
      <c r="H32" s="13">
        <f>SUM(H29:H31)</f>
        <v/>
      </c>
    </row>
  </sheetData>
  <autoFilter ref="A8:I26"/>
  <conditionalFormatting sqref="H9:H26">
    <cfRule type="cellIs" priority="1" operator="equal" dxfId="0">
      <formula>"Fail"</formula>
    </cfRule>
  </conditionalFormatting>
  <dataValidations count="1">
    <dataValidation sqref="H9:H26" showDropDown="0" showInputMessage="0" showErrorMessage="0" allowBlank="0" type="list">
      <formula1>"Pass,Fail,Pending"</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22" customWidth="1" min="1" max="1"/>
    <col width="40" customWidth="1" min="2" max="2"/>
    <col width="30" customWidth="1" min="3" max="3"/>
    <col width="24" customWidth="1" min="4" max="4"/>
    <col width="24" customWidth="1" min="5" max="5"/>
    <col width="24" customWidth="1" min="6" max="6"/>
    <col width="14" customWidth="1" min="7" max="7"/>
    <col width="40" customWidth="1" min="8" max="8"/>
    <col width="45" customWidth="1" min="9" max="9"/>
  </cols>
  <sheetData>
    <row r="1">
      <c r="A1" s="14" t="inlineStr">
        <is>
          <t>TEST REPORT</t>
        </is>
      </c>
    </row>
    <row r="2">
      <c r="C2" s="15" t="inlineStr">
        <is>
          <t>zannguyen</t>
        </is>
      </c>
      <c r="D2" s="15" t="inlineStr">
        <is>
          <t>phucnguyenngoc</t>
        </is>
      </c>
      <c r="E2" s="15" t="inlineStr">
        <is>
          <t>Total</t>
        </is>
      </c>
    </row>
    <row r="3">
      <c r="A3" s="15" t="inlineStr">
        <is>
          <t>Executed</t>
        </is>
      </c>
      <c r="B3" s="9" t="inlineStr">
        <is>
          <t>Passed</t>
        </is>
      </c>
      <c r="C3" s="11">
        <f>'Android build'!$H$20+'Đăng nhập người dùng'!$H$59+'Lịch uống thuốc'!$H$51+'Tải lịch uống'!$H$32+'Tương tác thuốc-thuốc'!$H$52+'Tương tác thuốc-thực phẩm'!$H$17+'Tra cứu hoạt chất'!$H$17+'Mã liên kết người thân'!$H$47+'Landing page'!$H$43+'Yêu cầu liên kết người thân'!$H$72+'Theo dõi người thân (app)'!$H$46+'Link mời người thân'!$H$24+'Khung điều hướng app'!$H$16+'Duyệt yêu cầu liên kết'!$H$38+'Người giám sát'!$H$39+'Bỏ lỡ liều có xác minh'!$H$60+'Checkpoint đồng bộ liều'!$H$31+'Lịch sử chưa xác minh'!$H$21</f>
        <v/>
      </c>
      <c r="D3" s="11">
        <f>'Chọn thuốc danh mục'!$H$63+'Hồi quy xác nhận liều'!$H$12+'Cảnh báo người thân'!$H$84+'FCM token Android'!$H$24+'Redeem flow E2E'!$H$34+'Lịch sử tuân thủ người thân'!$H$64+'Chuẩn hóa OCR'!$H$32+'Index danh mục'!$H$29</f>
        <v/>
      </c>
      <c r="E3" s="15">
        <f>SUM(C3:D3)</f>
        <v/>
      </c>
    </row>
    <row r="4">
      <c r="A4" s="16" t="n"/>
      <c r="B4" s="9" t="inlineStr">
        <is>
          <t>Failed</t>
        </is>
      </c>
      <c r="C4" s="11">
        <f>'Android build'!$H$21+'Đăng nhập người dùng'!$H$60+'Lịch uống thuốc'!$H$52+'Tải lịch uống'!$H$33+'Tương tác thuốc-thuốc'!$H$53+'Tương tác thuốc-thực phẩm'!$H$18+'Tra cứu hoạt chất'!$H$18+'Mã liên kết người thân'!$H$48+'Landing page'!$H$44+'Yêu cầu liên kết người thân'!$H$73+'Theo dõi người thân (app)'!$H$47+'Link mời người thân'!$H$25+'Khung điều hướng app'!$H$17+'Duyệt yêu cầu liên kết'!$H$39+'Người giám sát'!$H$40+'Bỏ lỡ liều có xác minh'!$H$61+'Checkpoint đồng bộ liều'!$H$32+'Lịch sử chưa xác minh'!$H$22</f>
        <v/>
      </c>
      <c r="D4" s="11">
        <f>'Chọn thuốc danh mục'!$H$64+'Hồi quy xác nhận liều'!$H$13+'Cảnh báo người thân'!$H$85+'FCM token Android'!$H$25+'Redeem flow E2E'!$H$35+'Lịch sử tuân thủ người thân'!$H$65+'Chuẩn hóa OCR'!$H$33+'Index danh mục'!$H$30</f>
        <v/>
      </c>
      <c r="E4" s="15">
        <f>SUM(C4:D4)</f>
        <v/>
      </c>
    </row>
    <row r="5">
      <c r="A5" s="17" t="n"/>
      <c r="B5" s="9" t="inlineStr">
        <is>
          <t>(Total) Test executed (Passed + Failed)</t>
        </is>
      </c>
      <c r="C5" s="11">
        <f>C3+C4</f>
        <v/>
      </c>
      <c r="D5" s="11">
        <f>D3+D4</f>
        <v/>
      </c>
      <c r="E5" s="15">
        <f>SUM(C5:D5)</f>
        <v/>
      </c>
    </row>
    <row r="6">
      <c r="A6" s="15" t="inlineStr">
        <is>
          <t>Pending</t>
        </is>
      </c>
      <c r="B6" s="10" t="inlineStr"/>
      <c r="C6" s="11">
        <f>'Android build'!$H$22+'Đăng nhập người dùng'!$H$61+'Lịch uống thuốc'!$H$53+'Tải lịch uống'!$H$34+'Tương tác thuốc-thuốc'!$H$54+'Tương tác thuốc-thực phẩm'!$H$19+'Tra cứu hoạt chất'!$H$19+'Mã liên kết người thân'!$H$49+'Landing page'!$H$45+'Yêu cầu liên kết người thân'!$H$74+'Theo dõi người thân (app)'!$H$48+'Link mời người thân'!$H$26+'Khung điều hướng app'!$H$18+'Duyệt yêu cầu liên kết'!$H$40+'Người giám sát'!$H$41+'Bỏ lỡ liều có xác minh'!$H$62+'Checkpoint đồng bộ liều'!$H$33+'Lịch sử chưa xác minh'!$H$23</f>
        <v/>
      </c>
      <c r="D6" s="11">
        <f>'Chọn thuốc danh mục'!$H$65+'Hồi quy xác nhận liều'!$H$14+'Cảnh báo người thân'!$H$86+'FCM token Android'!$H$26+'Redeem flow E2E'!$H$36+'Lịch sử tuân thủ người thân'!$H$66+'Chuẩn hóa OCR'!$H$34+'Index danh mục'!$H$31</f>
        <v/>
      </c>
      <c r="E6" s="15">
        <f>SUM(C6:D6)</f>
        <v/>
      </c>
    </row>
    <row r="7">
      <c r="A7" s="15" t="inlineStr">
        <is>
          <t>(Sub-total) Test Planned</t>
        </is>
      </c>
      <c r="B7" s="10" t="inlineStr"/>
      <c r="C7" s="11">
        <f>C5+C6</f>
        <v/>
      </c>
      <c r="D7" s="11">
        <f>D5+D6</f>
        <v/>
      </c>
      <c r="E7" s="15">
        <f>SUM(C7:D7)</f>
        <v/>
      </c>
    </row>
    <row r="10">
      <c r="A10" s="5" t="inlineStr">
        <is>
          <t>Function</t>
        </is>
      </c>
      <c r="B10" s="5" t="inlineStr">
        <is>
          <t>Description</t>
        </is>
      </c>
      <c r="C10" s="5" t="inlineStr">
        <is>
          <t>Sheet Name</t>
        </is>
      </c>
      <c r="D10" s="5" t="inlineStr">
        <is>
          <t>% TCs Executed</t>
        </is>
      </c>
      <c r="E10" s="5" t="inlineStr">
        <is>
          <t>% TCs Passed</t>
        </is>
      </c>
      <c r="F10" s="5" t="inlineStr">
        <is>
          <t>% TCs Failed</t>
        </is>
      </c>
      <c r="G10" s="5" t="inlineStr">
        <is>
          <t>Priority</t>
        </is>
      </c>
      <c r="H10" s="5" t="inlineStr">
        <is>
          <t>Remarks</t>
        </is>
      </c>
      <c r="I10" s="5" t="inlineStr">
        <is>
          <t>Done by</t>
        </is>
      </c>
    </row>
    <row r="11" ht="156.5" customHeight="1">
      <c r="A11" s="11" t="inlineStr">
        <is>
          <t>Build ứng dụng Android</t>
        </is>
      </c>
      <c r="B11" s="10" t="inlineStr">
        <is>
          <t>Build APK debug của Mobile App từ nhánh main (cấu hình Gradle, desugaring, plugin native) và bước build trong CI</t>
        </is>
      </c>
      <c r="C11" s="11" t="inlineStr">
        <is>
          <t>Android build</t>
        </is>
      </c>
      <c r="D11" s="18">
        <f>IFERROR(('Android build'!$H$23-'Android build'!$H$22)/'Android build'!$H$23,0)</f>
        <v/>
      </c>
      <c r="E11" s="18">
        <f>IFERROR('Android build'!$H$20/'Android build'!$H$23,0)</f>
        <v/>
      </c>
      <c r="F11" s="18">
        <f>IFERROR('Android build'!$H$21/'Android build'!$H$23,0)</f>
        <v/>
      </c>
      <c r="G11" s="11" t="inlineStr">
        <is>
          <t>High</t>
        </is>
      </c>
      <c r="H11" s="10" t="inlineStr">
        <is>
          <t>Lỗi Critical (APK không build được do flutter_local_notifications cần desugaring và flutter_timezone 2.x dùng API Registrar đã bị gỡ) đã sửa ở task adhoc-20261007-android-desugaring (frontend PR #27, CI xanh gồm bước build APK). Còn Pending: kiểm lockfile bằng --enforce-lockfile với Flutter stable.</t>
        </is>
      </c>
      <c r="I11" s="11" t="inlineStr">
        <is>
          <t>zannguyen</t>
        </is>
      </c>
    </row>
    <row r="12" ht="189.5" customHeight="1">
      <c r="A12" s="11" t="inlineStr">
        <is>
          <t>Đăng nhập người dùng</t>
        </is>
      </c>
      <c r="B12" s="10" t="inlineStr">
        <is>
          <t>Đăng nhập Mobile App bằng OTP (số điện thoại hoặc email), hoàn thiện hồ sơ lần đầu, phiên đăng nhập và đăng xuất — user thường, không gồm admin</t>
        </is>
      </c>
      <c r="C12" s="11" t="inlineStr">
        <is>
          <t>Đăng nhập người dùng</t>
        </is>
      </c>
      <c r="D12" s="18">
        <f>IFERROR(('Đăng nhập người dùng'!$H$62-'Đăng nhập người dùng'!$H$61)/'Đăng nhập người dùng'!$H$62,0)</f>
        <v/>
      </c>
      <c r="E12" s="18">
        <f>IFERROR('Đăng nhập người dùng'!$H$59/'Đăng nhập người dùng'!$H$62,0)</f>
        <v/>
      </c>
      <c r="F12" s="18">
        <f>IFERROR('Đăng nhập người dùng'!$H$60/'Đăng nhập người dùng'!$H$62,0)</f>
        <v/>
      </c>
      <c r="G12" s="11" t="inlineStr">
        <is>
          <t>High</t>
        </is>
      </c>
      <c r="H12" s="10" t="inlineStr">
        <is>
          <t>Luồng chính (đăng nhập, hồ sơ, consent, mở lại app, đăng xuất) và mọi kiểm tra quyền/bearer đạt, cả ở API lẫn E2E trên emulator. 7 Fail gồm lỗi kiểm tra đầu vào ở biên (chữ số Unicode, họ tên &gt; 255, ngày sinh &lt; 1900, ký tự NUL gây 500), lỗi múi giờ khi kiểm ngày sinh (dùng UTC), app gửi lại mã OTP sai khi chạm ô, và một kỳ vọng AC6 cần chốt lại (ký tự xuống dòng cuối số điện thoại).</t>
        </is>
      </c>
      <c r="I12" s="11" t="inlineStr">
        <is>
          <t>zannguyen</t>
        </is>
      </c>
    </row>
    <row r="13" ht="222.5" customHeight="1">
      <c r="A13" s="11" t="inlineStr">
        <is>
          <t>Quản lý lịch uống thuốc</t>
        </is>
      </c>
      <c r="B13" s="10" t="inlineStr">
        <is>
          <t>Backend API thêm, sửa, hủy từng giờ uống; bật/tắt nhắc; đổi ngày uống trong tuần; mốc hiệu lực khi có liều xác nhận sớm (QD-16). Chỉ chính người bệnh được ghi.</t>
        </is>
      </c>
      <c r="C13" s="11" t="inlineStr">
        <is>
          <t>Lịch uống thuốc</t>
        </is>
      </c>
      <c r="D13" s="18">
        <f>IFERROR(('Lịch uống thuốc'!$H$54-'Lịch uống thuốc'!$H$53)/'Lịch uống thuốc'!$H$54,0)</f>
        <v/>
      </c>
      <c r="E13" s="18">
        <f>IFERROR('Lịch uống thuốc'!$H$51/'Lịch uống thuốc'!$H$54,0)</f>
        <v/>
      </c>
      <c r="F13" s="18">
        <f>IFERROR('Lịch uống thuốc'!$H$52/'Lịch uống thuốc'!$H$54,0)</f>
        <v/>
      </c>
      <c r="G13" s="11" t="inlineStr">
        <is>
          <t>High</t>
        </is>
      </c>
      <c r="H13" s="10" t="inlineStr">
        <is>
          <t>Toàn bộ test tự động và kiểm tra biên đạt trên Supabase local. Đã sửa và có test cho các lỗi review R1 (sinh trùng liều khi ngừng/dùng lại sau liều xác nhận sớm), R2 (dùng lại thuốc khi cần mở lịch cũ), R3 (dùng lại mất lịch sau khi đổi cả bộ giờ/ngày sau liều sớm; sửa bằng migration closed_by_stop_at) và M3 (doses_per_day sau khi dùng lại). Có test bất biến trên chuỗi thao tác ngẫu nhiên. Chưa phủ: race giữa xác nhận liều sớm và sửa lịch (2.10).</t>
        </is>
      </c>
      <c r="I13" s="11" t="inlineStr">
        <is>
          <t>zannguyen</t>
        </is>
      </c>
    </row>
    <row r="14" ht="90.5" customHeight="1">
      <c r="A14" s="11" t="inlineStr">
        <is>
          <t>Tải lịch uống và phân quyền dữ liệu thuốc</t>
        </is>
      </c>
      <c r="B14" s="10" t="inlineStr">
        <is>
          <t>GET /patients/{patient_id}/schedules (lịch đang mở và đóng trong 30 ngày, phân trang con trỏ); phân quyền ghi lịch; QD-32 admin không đọc dữ liệu y tế; patient_id không tồn tại.</t>
        </is>
      </c>
      <c r="C14" s="11" t="inlineStr">
        <is>
          <t>Tải lịch uống</t>
        </is>
      </c>
      <c r="D14" s="18">
        <f>IFERROR(('Tải lịch uống'!$H$35-'Tải lịch uống'!$H$34)/'Tải lịch uống'!$H$35,0)</f>
        <v/>
      </c>
      <c r="E14" s="18">
        <f>IFERROR('Tải lịch uống'!$H$32/'Tải lịch uống'!$H$35,0)</f>
        <v/>
      </c>
      <c r="F14" s="18">
        <f>IFERROR('Tải lịch uống'!$H$33/'Tải lịch uống'!$H$35,0)</f>
        <v/>
      </c>
      <c r="G14" s="11" t="inlineStr">
        <is>
          <t>High</t>
        </is>
      </c>
      <c r="H14" s="10" t="inlineStr">
        <is>
          <t>Toàn bộ ca phân quyền đạt, mỗi ca kiểm cả response lẫn access_logs. Quy tắc QD-29 (app người thân không lưu xuống máy) là quy tắc client, chưa kiểm được ở backend.</t>
        </is>
      </c>
      <c r="I14" s="11" t="inlineStr">
        <is>
          <t>zannguyen</t>
        </is>
      </c>
    </row>
    <row r="15" ht="90.5" customHeight="1">
      <c r="A15" s="11" t="inlineStr">
        <is>
          <t>Danh mục tương tác thuốc-thuốc (admin)</t>
        </is>
      </c>
      <c r="B15" s="10" t="inlineStr">
        <is>
          <t>Admin thêm, xem, sửa (tạo phiên bản mới), xóa mềm quy tắc tương tác giữa hai hoạt chất, kèm ngưỡng liều; xem lịch sử phiên bản (task 2.16, PB05).</t>
        </is>
      </c>
      <c r="C15" s="11" t="inlineStr">
        <is>
          <t>Tương tác thuốc-thuốc</t>
        </is>
      </c>
      <c r="D15" s="18">
        <f>IFERROR(('Tương tác thuốc-thuốc'!$H$55-'Tương tác thuốc-thuốc'!$H$54)/'Tương tác thuốc-thuốc'!$H$55,0)</f>
        <v/>
      </c>
      <c r="E15" s="18">
        <f>IFERROR('Tương tác thuốc-thuốc'!$H$52/'Tương tác thuốc-thuốc'!$H$55,0)</f>
        <v/>
      </c>
      <c r="F15" s="18">
        <f>IFERROR('Tương tác thuốc-thuốc'!$H$53/'Tương tác thuốc-thuốc'!$H$55,0)</f>
        <v/>
      </c>
      <c r="G15" s="11" t="inlineStr">
        <is>
          <t>High</t>
        </is>
      </c>
      <c r="H15" s="10" t="inlineStr">
        <is>
          <t>Toàn bộ test tự động (tích hợp với Postgres thật, app chạy bằng api_role) pass. Không có lỗi sản phẩm.</t>
        </is>
      </c>
      <c r="I15" s="11" t="inlineStr">
        <is>
          <t>zannguyen</t>
        </is>
      </c>
    </row>
    <row r="16" ht="107" customHeight="1">
      <c r="A16" s="11" t="inlineStr">
        <is>
          <t>Danh mục tương tác thuốc-thực phẩm (admin)</t>
        </is>
      </c>
      <c r="B16" s="10" t="inlineStr">
        <is>
          <t>Admin thêm, xem, sửa (tạo phiên bản mới), xóa mềm quy tắc tương tác giữa hoạt chất và thực phẩm (task 2.16, PB05).</t>
        </is>
      </c>
      <c r="C16" s="11" t="inlineStr">
        <is>
          <t>Tương tác thuốc-thực phẩm</t>
        </is>
      </c>
      <c r="D16" s="18">
        <f>IFERROR(('Tương tác thuốc-thực phẩm'!$H$20-'Tương tác thuốc-thực phẩm'!$H$19)/'Tương tác thuốc-thực phẩm'!$H$20,0)</f>
        <v/>
      </c>
      <c r="E16" s="18">
        <f>IFERROR('Tương tác thuốc-thực phẩm'!$H$17/'Tương tác thuốc-thực phẩm'!$H$20,0)</f>
        <v/>
      </c>
      <c r="F16" s="18">
        <f>IFERROR('Tương tác thuốc-thực phẩm'!$H$18/'Tương tác thuốc-thực phẩm'!$H$20,0)</f>
        <v/>
      </c>
      <c r="G16" s="11" t="inlineStr">
        <is>
          <t>High</t>
        </is>
      </c>
      <c r="H16" s="10" t="inlineStr">
        <is>
          <t>Toàn bộ test tự động pass. Không có lỗi sản phẩm.</t>
        </is>
      </c>
      <c r="I16" s="11" t="inlineStr">
        <is>
          <t>zannguyen</t>
        </is>
      </c>
    </row>
    <row r="17" ht="90.5" customHeight="1">
      <c r="A17" s="11" t="inlineStr">
        <is>
          <t>Tra cứu hoạt chất (admin)</t>
        </is>
      </c>
      <c r="B17" s="10" t="inlineStr">
        <is>
          <t>Admin tìm hoạt chất theo tên chuẩn hoặc tên gọi khác, hoặc xem hoạt chất của một thuốc, để chọn khi nhập quy tắc tương tác (task 2.16).</t>
        </is>
      </c>
      <c r="C17" s="11" t="inlineStr">
        <is>
          <t>Tra cứu hoạt chất</t>
        </is>
      </c>
      <c r="D17" s="18">
        <f>IFERROR(('Tra cứu hoạt chất'!$H$20-'Tra cứu hoạt chất'!$H$19)/'Tra cứu hoạt chất'!$H$20,0)</f>
        <v/>
      </c>
      <c r="E17" s="18">
        <f>IFERROR('Tra cứu hoạt chất'!$H$17/'Tra cứu hoạt chất'!$H$20,0)</f>
        <v/>
      </c>
      <c r="F17" s="18">
        <f>IFERROR('Tra cứu hoạt chất'!$H$18/'Tra cứu hoạt chất'!$H$20,0)</f>
        <v/>
      </c>
      <c r="G17" s="11" t="inlineStr">
        <is>
          <t>Medium</t>
        </is>
      </c>
      <c r="H17" s="10" t="inlineStr">
        <is>
          <t>Toàn bộ test tự động pass.</t>
        </is>
      </c>
      <c r="I17" s="11" t="inlineStr">
        <is>
          <t>zannguyen</t>
        </is>
      </c>
    </row>
    <row r="18" ht="140" customHeight="1">
      <c r="A18" s="11" t="inlineStr">
        <is>
          <t>Mã liên kết người thân</t>
        </is>
      </c>
      <c r="B18" s="10" t="inlineStr">
        <is>
          <t>User lấy mã liên kết cố định, không hết hạn của mình (kèm QR payload) để mời người thân: GET /family/link-code; mỗi user đúng một mã (QD-04, QD-34). Task 3.10, PB15. Từ 3.13 (BS-05): phải đồng ý family_sharing mới lấy được mã, chưa đồng ý hoặc đã rút trả 403 family_sharing_consent_required.</t>
        </is>
      </c>
      <c r="C18" s="11" t="inlineStr">
        <is>
          <t>Mã liên kết người thân</t>
        </is>
      </c>
      <c r="D18" s="18">
        <f>IFERROR(('Mã liên kết người thân'!$H$50-'Mã liên kết người thân'!$H$49)/'Mã liên kết người thân'!$H$50,0)</f>
        <v/>
      </c>
      <c r="E18" s="18">
        <f>IFERROR('Mã liên kết người thân'!$H$47/'Mã liên kết người thân'!$H$50,0)</f>
        <v/>
      </c>
      <c r="F18" s="18">
        <f>IFERROR('Mã liên kết người thân'!$H$48/'Mã liên kết người thân'!$H$50,0)</f>
        <v/>
      </c>
      <c r="G18" s="11" t="inlineStr">
        <is>
          <t>High</t>
        </is>
      </c>
      <c r="H18" s="10" t="inlineStr">
        <is>
          <t>3.13 chạy lại toàn bộ test tự động của chức năng sau khi thêm điều kiện consent: pass. TC-LINKCODE-21, 27, 30 giữ kết quả của 3.10 (script/kiểm tay một lần, không chạy lại). Một Fail (TC-LINKCODE-28): unit test và ruff toàn repo còn lỗi có sẵn trên main ở module khác.</t>
        </is>
      </c>
      <c r="I18" s="11" t="inlineStr">
        <is>
          <t>zannguyen</t>
        </is>
      </c>
    </row>
    <row r="19" ht="239" customHeight="1">
      <c r="A19" s="11" t="inlineStr">
        <is>
          <t>Tìm và chọn thuốc khi nhập thuốc</t>
        </is>
      </c>
      <c r="B19" s="10" t="inlineStr">
        <is>
          <t>UI chọn/xác nhận mock OCR 4.16; hồi quy tìm danh mục API/DB thật của 3.05; chưa tích hợp OCR 4.13/search 4.15.</t>
        </is>
      </c>
      <c r="C19" s="11" t="inlineStr">
        <is>
          <t>Chọn thuốc danh mục</t>
        </is>
      </c>
      <c r="D19" s="18">
        <f>IFERROR(('Chọn thuốc danh mục'!$H$66-'Chọn thuốc danh mục'!$H$65)/'Chọn thuốc danh mục'!$H$66,0)</f>
        <v/>
      </c>
      <c r="E19" s="18">
        <f>IFERROR('Chọn thuốc danh mục'!$H$63/'Chọn thuốc danh mục'!$H$66,0)</f>
        <v/>
      </c>
      <c r="F19" s="18">
        <f>IFERROR('Chọn thuốc danh mục'!$H$64/'Chọn thuốc danh mục'!$H$66,0)</f>
        <v/>
      </c>
      <c r="G19" s="11" t="inlineStr">
        <is>
          <t>High</t>
        </is>
      </c>
      <c r="H19" s="10" t="inlineStr">
        <is>
          <t>2026-10-28: 50 Pass, 2 Fail, 0 Pending. TC25/26/29: 43 pytest pass trên PostgreSQL local; TC27: 5 query Android + API/DB thật pass, không tạo bản ghi; TC52: người dùng xác nhận thao tác và TalkBack hoạt động bình thường. TC28 và TC51 cùng một lỗi layout màn nhỏ/chữ lớn. Các case khác giữ kết quả phiên 27/10; không coi là đã chạy lại hôm nay. 2026-10-28: người dùng chấp nhận lỗi layout Medium và hoãn sửa trong task 4.16; giữ Fail theo bằng chứng. Quyết định: evidence/test-layout-risk-acceptance.log.</t>
        </is>
      </c>
      <c r="I19" s="11" t="inlineStr">
        <is>
          <t>phucnguyenngoc</t>
        </is>
      </c>
    </row>
    <row r="20" ht="90.5" customHeight="1">
      <c r="A20" s="11" t="inlineStr">
        <is>
          <t>Hồi quy xác nhận liều</t>
        </is>
      </c>
      <c r="B20" s="10" t="inlineStr">
        <is>
          <t>Sai khác test–API phát hiện khi chạy bộ tích hợp rộng của task 3.05; ngoài chức năng tìm/chọn thuốc.</t>
        </is>
      </c>
      <c r="C20" s="11" t="inlineStr">
        <is>
          <t>Hồi quy xác nhận liều</t>
        </is>
      </c>
      <c r="D20" s="18">
        <f>IFERROR(('Hồi quy xác nhận liều'!$H$15-'Hồi quy xác nhận liều'!$H$14)/'Hồi quy xác nhận liều'!$H$15,0)</f>
        <v/>
      </c>
      <c r="E20" s="18">
        <f>IFERROR('Hồi quy xác nhận liều'!$H$12/'Hồi quy xác nhận liều'!$H$15,0)</f>
        <v/>
      </c>
      <c r="F20" s="18">
        <f>IFERROR('Hồi quy xác nhận liều'!$H$13/'Hồi quy xác nhận liều'!$H$15,0)</f>
        <v/>
      </c>
      <c r="G20" s="11" t="inlineStr">
        <is>
          <t>Medium</t>
        </is>
      </c>
      <c r="H20" s="10" t="inlineStr">
        <is>
          <t>Một test Fail lặp lại; chưa kết luận sản phẩm sai hay kỳ vọng test đã cũ. Không sửa backend trong task 3.05.</t>
        </is>
      </c>
      <c r="I20" s="11" t="inlineStr">
        <is>
          <t>phucnguyenngoc</t>
        </is>
      </c>
    </row>
    <row r="21" ht="123.5" customHeight="1">
      <c r="A21" s="11" t="inlineStr">
        <is>
          <t>Landing page (giao diện mới, iPhone 3D)</t>
        </is>
      </c>
      <c r="B21" s="10" t="inlineStr">
        <is>
          <t>Trang chủ landing: hero iPhone 3D (Spline) + vòng icon tính năng, dải bằng chứng, scroll-story 4 tính năng, 5 thẻ tiện ích, 3 bước, an toàn, FAQ, CTA, footer; hiệu ứng GSAP</t>
        </is>
      </c>
      <c r="C21" s="11" t="inlineStr">
        <is>
          <t>Landing page</t>
        </is>
      </c>
      <c r="D21" s="18">
        <f>IFERROR(('Landing page'!$H$46-'Landing page'!$H$45)/'Landing page'!$H$46,0)</f>
        <v/>
      </c>
      <c r="E21" s="18">
        <f>IFERROR('Landing page'!$H$43/'Landing page'!$H$46,0)</f>
        <v/>
      </c>
      <c r="F21" s="18">
        <f>IFERROR('Landing page'!$H$44/'Landing page'!$H$46,0)</f>
        <v/>
      </c>
      <c r="G21" s="11" t="inlineStr">
        <is>
          <t>High</t>
        </is>
      </c>
      <c r="H21" s="10" t="inlineStr">
        <is>
          <t>32/32 Pass ở vòng test 2 (2026-10-17). Vòng 1 có 5 Fail (bàn phím / trình đọc màn hình không tới nội dung chưa cuộn tới — High; Performance mobile 77; tương phản nút mock; nhãn nút store; câu chữ icon người nhà), đã sửa ở implement P22 và chạy lại.</t>
        </is>
      </c>
      <c r="I21" s="11" t="inlineStr">
        <is>
          <t>zannguyen</t>
        </is>
      </c>
    </row>
    <row r="22" ht="156.5" customHeight="1">
      <c r="A22" s="11" t="inlineStr">
        <is>
          <t>Gửi yêu cầu liên kết người thân</t>
        </is>
      </c>
      <c r="B22" s="10" t="inlineStr">
        <is>
          <t>Người thân nhập/quét mã liên kết của người bệnh để gửi yêu cầu liên kết chờ duyệt: POST /family/link-requests (QD-04, QD-34, BS-04, BS-05). Chống dò mã theo tài khoản (5 lần sai/15 phút khóa 15 phút, 10 yêu cầu/ngày), chống gửi trùng bằng client_uuid. Task 3.13, PB19.</t>
        </is>
      </c>
      <c r="C22" s="11" t="inlineStr">
        <is>
          <t>Yêu cầu liên kết người thân</t>
        </is>
      </c>
      <c r="D22" s="18">
        <f>IFERROR(('Yêu cầu liên kết người thân'!$H$75-'Yêu cầu liên kết người thân'!$H$74)/'Yêu cầu liên kết người thân'!$H$75,0)</f>
        <v/>
      </c>
      <c r="E22" s="18">
        <f>IFERROR('Yêu cầu liên kết người thân'!$H$72/'Yêu cầu liên kết người thân'!$H$75,0)</f>
        <v/>
      </c>
      <c r="F22" s="18">
        <f>IFERROR('Yêu cầu liên kết người thân'!$H$73/'Yêu cầu liên kết người thân'!$H$75,0)</f>
        <v/>
      </c>
      <c r="G22" s="11" t="inlineStr">
        <is>
          <t>High</t>
        </is>
      </c>
      <c r="H22" s="10" t="inlineStr">
        <is>
          <t>Toàn bộ test tự động (tích hợp với Postgres thật, app chạy bằng api_role; unit; contract) pass; các test chạy đua chạy lặp 5 lần đều pass. Review tìm ra lỗi treo API khi nhập sai đồng thời vượt pool kết nối (H1), đã sửa và có test hồi quy TC-LINKREQ-46. Chống dò theo IP/thiết bị (QD-34 (d)) chưa làm trong 3.13.</t>
        </is>
      </c>
      <c r="I22" s="11" t="inlineStr">
        <is>
          <t>zannguyen</t>
        </is>
      </c>
    </row>
    <row r="23" ht="107" customHeight="1">
      <c r="A23" s="11" t="inlineStr">
        <is>
          <t>Theo dõi người thân bằng QR, mã hoặc link (mobile)</t>
        </is>
      </c>
      <c r="B23" s="10" t="inlineStr">
        <is>
          <t>Người thân quét QR, nhập mã hoặc mở link mời để gửi yêu cầu liên kết tới patient (POST /family/link-requests).</t>
        </is>
      </c>
      <c r="C23" s="11" t="inlineStr">
        <is>
          <t>Theo dõi người thân (app)</t>
        </is>
      </c>
      <c r="D23" s="18">
        <f>IFERROR(('Theo dõi người thân (app)'!$H$49-'Theo dõi người thân (app)'!$H$48)/'Theo dõi người thân (app)'!$H$49,0)</f>
        <v/>
      </c>
      <c r="E23" s="18">
        <f>IFERROR('Theo dõi người thân (app)'!$H$46/'Theo dõi người thân (app)'!$H$49,0)</f>
        <v/>
      </c>
      <c r="F23" s="18">
        <f>IFERROR('Theo dõi người thân (app)'!$H$47/'Theo dõi người thân (app)'!$H$49,0)</f>
        <v/>
      </c>
      <c r="G23" s="11" t="inlineStr">
        <is>
          <t>High</t>
        </is>
      </c>
      <c r="H23" s="10" t="inlineStr">
        <is>
          <t>Toàn bộ test tự động (widget/unit) pass trong phiên 2026-10-20. Các ca cần camera, thiết bị Android thật và backend chạy thật còn Pending.</t>
        </is>
      </c>
      <c r="I23" s="11" t="inlineStr">
        <is>
          <t>zannguyen</t>
        </is>
      </c>
    </row>
    <row r="24" ht="90.5" customHeight="1">
      <c r="A24" s="11" t="inlineStr">
        <is>
          <t>Gửi và mở link mời người thân</t>
        </is>
      </c>
      <c r="B24" s="10" t="inlineStr">
        <is>
          <t>Patient chia sẻ link mời cố định https://&lt;host&gt;/link#code=&lt;mã&gt;; trang /link trên landing và App Links mở app.</t>
        </is>
      </c>
      <c r="C24" s="11" t="inlineStr">
        <is>
          <t>Link mời người thân</t>
        </is>
      </c>
      <c r="D24" s="18">
        <f>IFERROR(('Link mời người thân'!$H$27-'Link mời người thân'!$H$26)/'Link mời người thân'!$H$27,0)</f>
        <v/>
      </c>
      <c r="E24" s="18">
        <f>IFERROR('Link mời người thân'!$H$24/'Link mời người thân'!$H$27,0)</f>
        <v/>
      </c>
      <c r="F24" s="18">
        <f>IFERROR('Link mời người thân'!$H$25/'Link mời người thân'!$H$27,0)</f>
        <v/>
      </c>
      <c r="G24" s="11" t="inlineStr">
        <is>
          <t>High</t>
        </is>
      </c>
      <c r="H24" s="10" t="inlineStr">
        <is>
          <t>Phần app và hàm thuần của landing đã test tự động; kiểm trang trên trình duyệt, App Links và Zalo cần landing lên production và thiết bị thật (Pending).</t>
        </is>
      </c>
      <c r="I24" s="11" t="inlineStr">
        <is>
          <t>zannguyen</t>
        </is>
      </c>
    </row>
    <row r="25" ht="90.5" customHeight="1">
      <c r="A25" s="11" t="inlineStr">
        <is>
          <t>Khung điều hướng: tab Hồ sơ và Người thân</t>
        </is>
      </c>
      <c r="B25" s="10" t="inlineStr">
        <is>
          <t>Tab Hồ sơ dùng màn Hồ sơ thật (sửa lỗi sau merge 3.11); bỏ trang UI Catalog; tab Người thân dùng FamilyTabScreen.</t>
        </is>
      </c>
      <c r="C25" s="11" t="inlineStr">
        <is>
          <t>Khung điều hướng app</t>
        </is>
      </c>
      <c r="D25" s="18">
        <f>IFERROR(('Khung điều hướng app'!$H$19-'Khung điều hướng app'!$H$18)/'Khung điều hướng app'!$H$19,0)</f>
        <v/>
      </c>
      <c r="E25" s="18">
        <f>IFERROR('Khung điều hướng app'!$H$16/'Khung điều hướng app'!$H$19,0)</f>
        <v/>
      </c>
      <c r="F25" s="18">
        <f>IFERROR('Khung điều hướng app'!$H$17/'Khung điều hướng app'!$H$19,0)</f>
        <v/>
      </c>
      <c r="G25" s="11" t="inlineStr">
        <is>
          <t>Medium</t>
        </is>
      </c>
      <c r="H25" s="10" t="inlineStr">
        <is>
          <t>Toàn bộ pass; test Đăng xuất từng fail trên main nay pass.</t>
        </is>
      </c>
      <c r="I25" s="11" t="inlineStr">
        <is>
          <t>zannguyen</t>
        </is>
      </c>
    </row>
    <row r="26" ht="107" customHeight="1">
      <c r="A26" s="11" t="inlineStr">
        <is>
          <t>Duyệt yêu cầu liên kết người thân</t>
        </is>
      </c>
      <c r="B26" s="10" t="inlineStr">
        <is>
          <t>Patient xem yêu cầu theo dõi đang chờ, chấp thuận kèm xác nhận đồng ý chia sẻ (PB16/3.17) hoặc từ chối; BS-04 chặn gửi lại sau 5 lần bị từ chối. Backend /family/links*, mobile tab Người thân.</t>
        </is>
      </c>
      <c r="C26" s="11" t="inlineStr">
        <is>
          <t>Duyệt yêu cầu liên kết</t>
        </is>
      </c>
      <c r="D26" s="18">
        <f>IFERROR(('Duyệt yêu cầu liên kết'!$H$41-'Duyệt yêu cầu liên kết'!$H$40)/'Duyệt yêu cầu liên kết'!$H$41,0)</f>
        <v/>
      </c>
      <c r="E26" s="18">
        <f>IFERROR('Duyệt yêu cầu liên kết'!$H$38/'Duyệt yêu cầu liên kết'!$H$41,0)</f>
        <v/>
      </c>
      <c r="F26" s="18">
        <f>IFERROR('Duyệt yêu cầu liên kết'!$H$39/'Duyệt yêu cầu liên kết'!$H$41,0)</f>
        <v/>
      </c>
      <c r="G26" s="11" t="inlineStr">
        <is>
          <t>High</t>
        </is>
      </c>
      <c r="H26" s="10" t="inlineStr">
        <is>
          <t>Toàn bộ test tự động (tích hợp Postgres thật, unit, widget) pass trong phiên 2026-10-21. Còn Pending: 2 điểm biên độ dài document_version chưa có test riêng và 2 kịch bản chạy tay trên hai thiết bị (AC23).</t>
        </is>
      </c>
      <c r="I26" s="11" t="inlineStr">
        <is>
          <t>zannguyen</t>
        </is>
      </c>
    </row>
    <row r="27" ht="123.5" customHeight="1">
      <c r="A27" s="11" t="inlineStr">
        <is>
          <t>Quản lý người giám sát</t>
        </is>
      </c>
      <c r="B27" s="10" t="inlineStr">
        <is>
          <t>Patient xem người giám sát đã chấp thuận, bật/tắt chia sẻ từng người và hủy liên kết; quyết định có hiệu lực ngay ở request kế tiếp. Backend /family/caregivers, /family/links/{id}/sharing|revoke, migration audit; mobile Hồ sơ &gt; Người giám sát.</t>
        </is>
      </c>
      <c r="C27" s="11" t="inlineStr">
        <is>
          <t>Người giám sát</t>
        </is>
      </c>
      <c r="D27" s="18">
        <f>IFERROR(('Người giám sát'!$H$42-'Người giám sát'!$H$41)/'Người giám sát'!$H$42,0)</f>
        <v/>
      </c>
      <c r="E27" s="18">
        <f>IFERROR('Người giám sát'!$H$39/'Người giám sát'!$H$42,0)</f>
        <v/>
      </c>
      <c r="F27" s="18">
        <f>IFERROR('Người giám sát'!$H$40/'Người giám sát'!$H$42,0)</f>
        <v/>
      </c>
      <c r="G27" s="11" t="inlineStr">
        <is>
          <t>High</t>
        </is>
      </c>
      <c r="H27" s="10" t="inlineStr">
        <is>
          <t>Toàn bộ test tự động (tích hợp Postgres thật gồm phân quyền chéo, hiệu lực ngay, chạy đua; unit; widget) pass trong phiên 2026-10-21. Còn Pending: kịch bản chạy tay trên hai thiết bị (AC23).</t>
        </is>
      </c>
      <c r="I27" s="11" t="inlineStr">
        <is>
          <t>zannguyen</t>
        </is>
      </c>
    </row>
    <row r="28" ht="90.5" customHeight="1">
      <c r="A28" s="11" t="inlineStr">
        <is>
          <t>Cảnh báo người thân</t>
        </is>
      </c>
      <c r="B28" s="10" t="inlineStr">
        <is>
          <t>Hộp thư, PEP, snapshot, badge và mở cảnh báo người thân.</t>
        </is>
      </c>
      <c r="C28" s="11" t="inlineStr">
        <is>
          <t>Cảnh báo người thân</t>
        </is>
      </c>
      <c r="D28" s="18">
        <f>IFERROR(('Cảnh báo người thân'!$H$87-'Cảnh báo người thân'!$H$86)/'Cảnh báo người thân'!$H$87,0)</f>
        <v/>
      </c>
      <c r="E28" s="18">
        <f>IFERROR('Cảnh báo người thân'!$H$84/'Cảnh báo người thân'!$H$87,0)</f>
        <v/>
      </c>
      <c r="F28" s="18">
        <f>IFERROR('Cảnh báo người thân'!$H$85/'Cảnh báo người thân'!$H$87,0)</f>
        <v/>
      </c>
      <c r="G28" s="11" t="inlineStr">
        <is>
          <t>High</t>
        </is>
      </c>
      <c r="H28" s="10" t="inlineStr">
        <is>
          <t>Có lỗi validation 503 thay 422; FCM/OS/iOS thật còn Pending.</t>
        </is>
      </c>
      <c r="I28" s="11" t="inlineStr">
        <is>
          <t>phucnguyenngoc</t>
        </is>
      </c>
    </row>
    <row r="29" ht="90.5" customHeight="1">
      <c r="A29" s="11" t="inlineStr">
        <is>
          <t>FCM token Android</t>
        </is>
      </c>
      <c r="B29" s="10" t="inlineStr">
        <is>
          <t>Đăng ký, refresh, ownership, cleanup và tranh chấp token Android.</t>
        </is>
      </c>
      <c r="C29" s="11" t="inlineStr">
        <is>
          <t>FCM token Android</t>
        </is>
      </c>
      <c r="D29" s="18">
        <f>IFERROR(('FCM token Android'!$H$27-'FCM token Android'!$H$26)/'FCM token Android'!$H$27,0)</f>
        <v/>
      </c>
      <c r="E29" s="18">
        <f>IFERROR('FCM token Android'!$H$24/'FCM token Android'!$H$27,0)</f>
        <v/>
      </c>
      <c r="F29" s="18">
        <f>IFERROR('FCM token Android'!$H$25/'FCM token Android'!$H$27,0)</f>
        <v/>
      </c>
      <c r="G29" s="11" t="inlineStr">
        <is>
          <t>High</t>
        </is>
      </c>
      <c r="H29" s="10" t="inlineStr">
        <is>
          <t>API local pass; chưa nghiệm thu AC8 từ DELETE đơn lẻ.</t>
        </is>
      </c>
      <c r="I29" s="11" t="inlineStr">
        <is>
          <t>phucnguyenngoc</t>
        </is>
      </c>
    </row>
    <row r="30" ht="90.5" customHeight="1">
      <c r="A30" s="11" t="inlineStr">
        <is>
          <t>Kiểm thử xuyên hệ thống gửi yêu cầu liên kết</t>
        </is>
      </c>
      <c r="B30" s="10" t="inlineStr">
        <is>
          <t>Nhập mã hoặc quét QR gửi yêu cầu pending, giới hạn và phân quyền sau redeem.</t>
        </is>
      </c>
      <c r="C30" s="11" t="inlineStr">
        <is>
          <t>Redeem flow E2E</t>
        </is>
      </c>
      <c r="D30" s="18">
        <f>IFERROR(('Redeem flow E2E'!$H$37-'Redeem flow E2E'!$H$36)/'Redeem flow E2E'!$H$37,0)</f>
        <v/>
      </c>
      <c r="E30" s="18">
        <f>IFERROR('Redeem flow E2E'!$H$34/'Redeem flow E2E'!$H$37,0)</f>
        <v/>
      </c>
      <c r="F30" s="18">
        <f>IFERROR('Redeem flow E2E'!$H$35/'Redeem flow E2E'!$H$37,0)</f>
        <v/>
      </c>
      <c r="G30" s="11" t="inlineStr">
        <is>
          <t>High</t>
        </is>
      </c>
      <c r="H30" s="10" t="inlineStr">
        <is>
          <t>Android LM_G710: nhập mã, double tap, retry và QR sai đã đạt UI/API/DB. QR hợp lệ Fail F1; camera thật Pending. Phase 401 đạt khi chạy lại sau một lần timeout.</t>
        </is>
      </c>
      <c r="I30" s="11" t="inlineStr">
        <is>
          <t>phucnguyenngoc</t>
        </is>
      </c>
    </row>
    <row r="31" ht="140" customHeight="1">
      <c r="A31" s="11" t="inlineStr">
        <is>
          <t>Lịch sử tuân thủ cho người thân</t>
        </is>
      </c>
      <c r="B31" s="10" t="inlineStr">
        <is>
          <t>PB21: lịch sử, quyền truy cập, thu hồi, audit, tỷ lệ và dữ liệu phiên.</t>
        </is>
      </c>
      <c r="C31" s="11" t="inlineStr">
        <is>
          <t>Lịch sử tuân thủ người thân</t>
        </is>
      </c>
      <c r="D31" s="18">
        <f>IFERROR(('Lịch sử tuân thủ người thân'!$H$67-'Lịch sử tuân thủ người thân'!$H$66)/'Lịch sử tuân thủ người thân'!$H$67,0)</f>
        <v/>
      </c>
      <c r="E31" s="18">
        <f>IFERROR('Lịch sử tuân thủ người thân'!$H$64/'Lịch sử tuân thủ người thân'!$H$67,0)</f>
        <v/>
      </c>
      <c r="F31" s="18">
        <f>IFERROR('Lịch sử tuân thủ người thân'!$H$65/'Lịch sử tuân thủ người thân'!$H$67,0)</f>
        <v/>
      </c>
      <c r="G31" s="11" t="inlineStr">
        <is>
          <t>High</t>
        </is>
      </c>
      <c r="H31" s="10" t="inlineStr">
        <is>
          <t>P7: history integration 66 Pass/2 Fail; BUG-3.25-01 còn mở. Runner unit 19 Pass; host HTTP/DB/audit đạt. Android linked/revoke/cross_patient có Pass, revoke hai lần Pass sau handshake Fail đầu chưa rõ nguyên nhân. OS/cache bền/selector UI và AC8 còn Pending; BUG-3.25-02 giữ widget retest trước.</t>
        </is>
      </c>
      <c r="I31" s="11" t="inlineStr">
        <is>
          <t>phucnguyenngoc</t>
        </is>
      </c>
    </row>
    <row r="32" ht="156.5" customHeight="1">
      <c r="A32" s="11" t="inlineStr">
        <is>
          <t>Phát hiện liều bỏ lỡ có xác minh</t>
        </is>
      </c>
      <c r="B32" s="10" t="inlineStr">
        <is>
          <t>Worker quét liều quá hạn chót (giờ uống + 120'), chỉ ghi bo_lo và báo người thân khi checkpoint đồng bộ của patient &gt;= hạn chót; chưa xác minh thì vào hàng chờ và gửi push ẩn sync_request (task 3.19).</t>
        </is>
      </c>
      <c r="C32" s="11" t="inlineStr">
        <is>
          <t>Bỏ lỡ liều có xác minh</t>
        </is>
      </c>
      <c r="D32" s="18">
        <f>IFERROR(('Bỏ lỡ liều có xác minh'!$H$63-'Bỏ lỡ liều có xác minh'!$H$62)/'Bỏ lỡ liều có xác minh'!$H$63,0)</f>
        <v/>
      </c>
      <c r="E32" s="18">
        <f>IFERROR('Bỏ lỡ liều có xác minh'!$H$60/'Bỏ lỡ liều có xác minh'!$H$63,0)</f>
        <v/>
      </c>
      <c r="F32" s="18">
        <f>IFERROR('Bỏ lỡ liều có xác minh'!$H$61/'Bỏ lỡ liều có xác minh'!$H$63,0)</f>
        <v/>
      </c>
      <c r="G32" s="11" t="inlineStr">
        <is>
          <t>High</t>
        </is>
      </c>
      <c r="H32" s="10" t="inlineStr">
        <is>
          <t>Toàn bộ test tự động (Postgres thật, Worker chạy bằng worker_role, push qua notifier giả) pass. Thử trên máy thật với FCM thật đạt (AC39, AC43). Lỗi High 'người thân bị 403 khi đọc cảnh báo' tìm thấy khi thử máy thật ở giai đoạn implement, đã sửa trước giai đoạn test và có test hồi quy (TC-MISSVERIFY-47). AC48 chờ cấu hình Render.</t>
        </is>
      </c>
      <c r="I32" s="11" t="inlineStr">
        <is>
          <t>zannguyen</t>
        </is>
      </c>
    </row>
    <row r="33" ht="123.5" customHeight="1">
      <c r="A33" s="11" t="inlineStr">
        <is>
          <t>Checkpoint đồng bộ liều</t>
        </is>
      </c>
      <c r="B33" s="10" t="inlineStr">
        <is>
          <t>POST /doses/sync-checkpoints: điện thoại patient báo đã gửi hết hàng chờ xác nhận liều; server ghi giờ server, không lùi. App gửi checkpoint sau khi hàng chờ có kết quả cuối, khi mở/quay lại app, mỗi 15' và khi nhận push sync_request (task 3.19).</t>
        </is>
      </c>
      <c r="C33" s="11" t="inlineStr">
        <is>
          <t>Checkpoint đồng bộ liều</t>
        </is>
      </c>
      <c r="D33" s="18">
        <f>IFERROR(('Checkpoint đồng bộ liều'!$H$34-'Checkpoint đồng bộ liều'!$H$33)/'Checkpoint đồng bộ liều'!$H$34,0)</f>
        <v/>
      </c>
      <c r="E33" s="18">
        <f>IFERROR('Checkpoint đồng bộ liều'!$H$31/'Checkpoint đồng bộ liều'!$H$34,0)</f>
        <v/>
      </c>
      <c r="F33" s="18">
        <f>IFERROR('Checkpoint đồng bộ liều'!$H$32/'Checkpoint đồng bộ liều'!$H$34,0)</f>
        <v/>
      </c>
      <c r="G33" s="11" t="inlineStr">
        <is>
          <t>High</t>
        </is>
      </c>
      <c r="H33" s="10" t="inlineStr">
        <is>
          <t>Toàn bộ test tích hợp (api_role, PEP thật) và test Flutter pass; grant theo role đúng thiết kế. Không có lỗi sản phẩm.</t>
        </is>
      </c>
      <c r="I33" s="11" t="inlineStr">
        <is>
          <t>zannguyen</t>
        </is>
      </c>
    </row>
    <row r="34" ht="107" customHeight="1">
      <c r="A34" s="11" t="inlineStr">
        <is>
          <t>Lịch sử: liều chưa xác minh</t>
        </is>
      </c>
      <c r="B34" s="10" t="inlineStr">
        <is>
          <t>GET /adherence trả status chua_xac_minh cho liều quá hạn chót mà patient chưa đồng bộ sau hạn chót, không tính vào tỷ lệ, kèm patient_last_synced_at; hai màn lịch sử mobile đọc được trạng thái mới (task 3.19).</t>
        </is>
      </c>
      <c r="C34" s="11" t="inlineStr">
        <is>
          <t>Lịch sử chưa xác minh</t>
        </is>
      </c>
      <c r="D34" s="18">
        <f>IFERROR(('Lịch sử chưa xác minh'!$H$24-'Lịch sử chưa xác minh'!$H$23)/'Lịch sử chưa xác minh'!$H$24,0)</f>
        <v/>
      </c>
      <c r="E34" s="18">
        <f>IFERROR('Lịch sử chưa xác minh'!$H$21/'Lịch sử chưa xác minh'!$H$24,0)</f>
        <v/>
      </c>
      <c r="F34" s="18">
        <f>IFERROR('Lịch sử chưa xác minh'!$H$22/'Lịch sử chưa xác minh'!$H$24,0)</f>
        <v/>
      </c>
      <c r="G34" s="11" t="inlineStr">
        <is>
          <t>Medium</t>
        </is>
      </c>
      <c r="H34" s="10" t="inlineStr">
        <is>
          <t>Test tích hợp, unit backend và Flutter pass. Hiển thị trên máy thật chưa có người xác nhận (Pending).</t>
        </is>
      </c>
      <c r="I34" s="11" t="inlineStr">
        <is>
          <t>zannguyen</t>
        </is>
      </c>
    </row>
    <row r="35" ht="140" customHeight="1">
      <c r="A35" s="11" t="inlineStr">
        <is>
          <t>Chuẩn hóa văn bản OCR</t>
        </is>
      </c>
      <c r="B35" s="10" t="inlineStr">
        <is>
          <t>Chuẩn hóa tiếng Việt và parser hàm lượng MVP bảo thủ, không tự xác minh thuốc.</t>
        </is>
      </c>
      <c r="C35" s="11" t="inlineStr">
        <is>
          <t>Chuẩn hóa OCR</t>
        </is>
      </c>
      <c r="D35" s="18">
        <f>IFERROR(('Chuẩn hóa OCR'!$H$35-'Chuẩn hóa OCR'!$H$34)/'Chuẩn hóa OCR'!$H$35,0)</f>
        <v/>
      </c>
      <c r="E35" s="18">
        <f>IFERROR('Chuẩn hóa OCR'!$H$32/'Chuẩn hóa OCR'!$H$35,0)</f>
        <v/>
      </c>
      <c r="F35" s="18">
        <f>IFERROR('Chuẩn hóa OCR'!$H$33/'Chuẩn hóa OCR'!$H$35,0)</f>
        <v/>
      </c>
      <c r="G35" s="11" t="inlineStr">
        <is>
          <t>High</t>
        </is>
      </c>
      <c r="H35" s="10" t="inlineStr">
        <is>
          <t>21 Pass, 0 Fail, 0 Pending sau sửa R1. R1/High đã sửa và regression pass, chờ review lại; Bug Report hiện không có lỗi mở của 4.12. Lịch sử lỗi: 06-review.md và evidence/implement-R1-before.log. Full suite có lỗi nền riêng, xem 05-test-report.md; không suy toàn suite xanh từ test case task.</t>
        </is>
      </c>
      <c r="I35" s="11" t="inlineStr">
        <is>
          <t>phucnguyenngoc</t>
        </is>
      </c>
    </row>
    <row r="36" ht="140" customHeight="1">
      <c r="A36" s="11" t="inlineStr">
        <is>
          <t>Index danh mục thuốc nội bộ</t>
        </is>
      </c>
      <c r="B36" s="10" t="inlineStr">
        <is>
          <t>Giữ raw/ID và dựng index mới mỗi lượt từ toàn catalog active; hồi quy ingest/search.</t>
        </is>
      </c>
      <c r="C36" s="11" t="inlineStr">
        <is>
          <t>Index danh mục</t>
        </is>
      </c>
      <c r="D36" s="18">
        <f>IFERROR(('Index danh mục'!$H$32-'Index danh mục'!$H$31)/'Index danh mục'!$H$32,0)</f>
        <v/>
      </c>
      <c r="E36" s="18">
        <f>IFERROR('Index danh mục'!$H$29/'Index danh mục'!$H$32,0)</f>
        <v/>
      </c>
      <c r="F36" s="18">
        <f>IFERROR('Index danh mục'!$H$30/'Index danh mục'!$H$32,0)</f>
        <v/>
      </c>
      <c r="G36" s="11" t="inlineStr">
        <is>
          <t>High</t>
        </is>
      </c>
      <c r="H36" s="10" t="inlineStr">
        <is>
          <t>18 Pass, 0 Fail, 0 Pending sau sửa R1. R1/High đã sửa và regression pass, chờ review lại; Bug Report hiện không có lỗi mở của 4.12. Lịch sử lỗi: 06-review.md và evidence/implement-R1-before.log. Full suite có lỗi nền riêng, xem 05-test-report.md; không suy toàn suite xanh từ test case task.</t>
        </is>
      </c>
      <c r="I36" s="11" t="inlineStr">
        <is>
          <t>phucnguyenngoc</t>
        </is>
      </c>
    </row>
    <row r="59">
      <c r="A59" s="19" t="inlineStr">
        <is>
          <t>Bug Report</t>
        </is>
      </c>
    </row>
    <row r="60">
      <c r="A60" s="20" t="inlineStr">
        <is>
          <t>Bug ID</t>
        </is>
      </c>
      <c r="B60" s="20" t="inlineStr">
        <is>
          <t>Description</t>
        </is>
      </c>
      <c r="C60" s="20" t="inlineStr">
        <is>
          <t>Steps to Reproduce</t>
        </is>
      </c>
      <c r="D60" s="20" t="inlineStr">
        <is>
          <t>Input Data</t>
        </is>
      </c>
      <c r="E60" s="20" t="inlineStr">
        <is>
          <t>Expected Result</t>
        </is>
      </c>
      <c r="F60" s="20" t="inlineStr">
        <is>
          <t>Actual Result</t>
        </is>
      </c>
      <c r="G60" s="20" t="inlineStr">
        <is>
          <t>Severity</t>
        </is>
      </c>
      <c r="H60" s="20" t="inlineStr">
        <is>
          <t>Name of Tester</t>
        </is>
      </c>
      <c r="I60" s="20" t="inlineStr">
        <is>
          <t>Logs</t>
        </is>
      </c>
    </row>
    <row r="61" ht="123.5" customHeight="1">
      <c r="A61" s="22" t="inlineStr">
        <is>
          <t>BUG-LOGIN-08</t>
        </is>
      </c>
      <c r="B61" s="22" t="inlineStr">
        <is>
          <t>Gửi số điện thoại có ký tự xuống dòng ở cuối</t>
        </is>
      </c>
      <c r="C61" s="22" t="inlineStr">
        <is>
          <t>1. POST /auth/mobile/otp {phone: "0900000001\n"}
2. POST /auth/mobile/verify {phone: "0900000001\n", token: 123456}</t>
        </is>
      </c>
      <c r="D61" s="22" t="inlineStr">
        <is>
          <t>phone: 0900000001 + ký tự \n</t>
        </is>
      </c>
      <c r="E61" s="22" t="inlineStr">
        <is>
          <t>422 {"detail":"invalid_phone"} (theo AC6 của 01-requirement)</t>
        </is>
      </c>
      <c r="F61" s="22" t="inlineStr">
        <is>
          <t>OTP 204, verify 200 và cấp phiên (backend bỏ ký tự trắng hai đầu)</t>
        </is>
      </c>
      <c r="G61" s="22" t="inlineStr">
        <is>
          <t>Low</t>
        </is>
      </c>
      <c r="H61" s="22" t="inlineStr">
        <is>
          <t>zannguyen</t>
        </is>
      </c>
      <c r="I61" s="22" t="inlineStr">
        <is>
          <t>Nghi vấn — kỳ vọng AC6 mâu thuẫn AC5: backend `_validate_required_text` (sign_in.py:178) `strip()` mọi ký tự trắng hai đầu, nên \n cuối được xử lý như khoảng trắng hai đầu mà AC5 coi là hợp lệ. Cần người dùng chốt: sửa AC6 hoặc sửa backend
Log: evidence/test-integration.log</t>
        </is>
      </c>
    </row>
    <row r="62" ht="123.5" customHeight="1">
      <c r="A62" s="22" t="inlineStr">
        <is>
          <t>BUG-LOGIN-11</t>
        </is>
      </c>
      <c r="B62" s="22" t="inlineStr">
        <is>
          <t>Gửi số điện thoại viết bằng chữ số Unicode</t>
        </is>
      </c>
      <c r="C62" s="22" t="inlineStr">
        <is>
          <t>1. POST /auth/mobile/otp {phone}
2. POST /auth/mobile/verify {phone, token: 123456}</t>
        </is>
      </c>
      <c r="D62" s="22" t="inlineStr">
        <is>
          <t>+８４９０００００００１ (full-width) | +٨٤٩٠٠٠٠٠٠٠١ (chữ số Ả Rập)</t>
        </is>
      </c>
      <c r="E62" s="22" t="inlineStr">
        <is>
          <t>422 {"detail":"invalid_phone"}, không gọi Supabase</t>
        </is>
      </c>
      <c r="F62" s="22" t="inlineStr">
        <is>
          <t>OTP 503 {"detail":"auth_provider_unavailable"}, verify 401 {"detail":"Invalid credentials"} — request đã tới Supabase</t>
        </is>
      </c>
      <c r="G62" s="22" t="inlineStr">
        <is>
          <t>Low</t>
        </is>
      </c>
      <c r="H62" s="22" t="inlineStr">
        <is>
          <t>zannguyen</t>
        </is>
      </c>
      <c r="I62" s="22" t="inlineStr">
        <is>
          <t>`_normalize_phone` (sign_in.py:197–206) kiểm bằng `str.isdigit()`, nhận cả chữ số Unicode, nên số lọt qua kiểm tra và gửi tới Supabase. Ô nhập của app chỉ cho 0-9 nên người dùng app không gặp; lỗi ở tầng API
Log: evidence/test-integration.log</t>
        </is>
      </c>
    </row>
    <row r="63" ht="189.5" customHeight="1">
      <c r="A63" s="22" t="inlineStr">
        <is>
          <t>BUG-LOGIN-25</t>
        </is>
      </c>
      <c r="B63" s="22" t="inlineStr">
        <is>
          <t>Lưu họ tên có ký tự NUL</t>
        </is>
      </c>
      <c r="C63" s="22" t="inlineStr">
        <is>
          <t>1. POST /auth/profile {ho_ten: "abc\u0000def", ngày sinh, giới tính hợp lệ}</t>
        </is>
      </c>
      <c r="D63" s="22" t="inlineStr">
        <is>
          <t>ho_ten: abc\u0000def</t>
        </is>
      </c>
      <c r="E63" s="22" t="inlineStr">
        <is>
          <t>Không 5xx (từ chối 422 hoặc lưu được); không lộ chi tiết nội bộ</t>
        </is>
      </c>
      <c r="F63" s="22" t="inlineStr">
        <is>
          <t>500 Internal Server Error</t>
        </is>
      </c>
      <c r="G63" s="22" t="inlineStr">
        <is>
          <t>Medium</t>
        </is>
      </c>
      <c r="H63" s="22" t="inlineStr">
        <is>
          <t>zannguyen</t>
        </is>
      </c>
      <c r="I63" s="22" t="inlineStr">
        <is>
          <t>`_validate_required_text` (sign_in.py:178) không chặn ký tự điều khiển; PostgreSQL từ chối NUL trong cột text: `psycopg.DataError: PostgreSQL text fields cannot contain NUL (0x00) bytes` ở `UPDATE users SET full_name…` (SqlUsers.update_profile); không có handler cho DataError nên thành 500. Câu SQL có tham số nên không phải lỗ hổng SQL injection
Log: evidence/test-integration.log, evidence/test-probe-nul.log</t>
        </is>
      </c>
    </row>
    <row r="64" ht="90.5" customHeight="1">
      <c r="A64" s="22" t="inlineStr">
        <is>
          <t>BUG-LOGIN-30</t>
        </is>
      </c>
      <c r="B64" s="22" t="inlineStr">
        <is>
          <t>Lưu họ tên dài 256 ký tự</t>
        </is>
      </c>
      <c r="C64" s="22" t="inlineStr">
        <is>
          <t>1. POST /auth/profile {ho_ten: A*256}</t>
        </is>
      </c>
      <c r="D64" s="22" t="inlineStr">
        <is>
          <t>A*256</t>
        </is>
      </c>
      <c r="E64" s="22" t="inlineStr">
        <is>
          <t>422; hồ sơ không đổi (giới hạn 255 theo Q4 của 01-requirement)</t>
        </is>
      </c>
      <c r="F64" s="22" t="inlineStr">
        <is>
          <t>204, đã lưu</t>
        </is>
      </c>
      <c r="G64" s="22" t="inlineStr">
        <is>
          <t>Low</t>
        </is>
      </c>
      <c r="H64" s="22" t="inlineStr">
        <is>
          <t>zannguyen</t>
        </is>
      </c>
      <c r="I64" s="22" t="inlineStr">
        <is>
          <t>Không có giới hạn độ dài họ tên: `_validate_profile` (sign_in.py) chỉ kiểm rỗng; cột users.full_name kiểu text không giới hạn
Log: evidence/test-integration.log</t>
        </is>
      </c>
    </row>
    <row r="65" ht="90.5" customHeight="1">
      <c r="A65" s="22" t="inlineStr">
        <is>
          <t>BUG-LOGIN-32</t>
        </is>
      </c>
      <c r="B65" s="22" t="inlineStr">
        <is>
          <t>Lưu ngày sinh trước 1900-01-01</t>
        </is>
      </c>
      <c r="C65" s="22" t="inlineStr">
        <is>
          <t>1. POST /auth/profile {ngay_sinh}</t>
        </is>
      </c>
      <c r="D65" s="22" t="inlineStr">
        <is>
          <t>1899-12-31 | 0001-01-01</t>
        </is>
      </c>
      <c r="E65" s="22" t="inlineStr">
        <is>
          <t>422; hồ sơ không đổi (cận dưới 1900-01-01 theo Q4)</t>
        </is>
      </c>
      <c r="F65" s="22" t="inlineStr">
        <is>
          <t>204 ở cả hai giá trị, đã lưu</t>
        </is>
      </c>
      <c r="G65" s="22" t="inlineStr">
        <is>
          <t>Low</t>
        </is>
      </c>
      <c r="H65" s="22" t="inlineStr">
        <is>
          <t>zannguyen</t>
        </is>
      </c>
      <c r="I65" s="22" t="inlineStr">
        <is>
          <t>`_validate_birth_date` (sign_in.py:229–231) chỉ chặn ngày tương lai, không có cận dưới. App mobile đã giới hạn date picker từ 1900 nên chỉ gặp khi gọi API trực tiếp
Log: evidence/test-integration.log</t>
        </is>
      </c>
    </row>
    <row r="66" ht="123.5" customHeight="1">
      <c r="A66" s="22" t="inlineStr">
        <is>
          <t>BUG-LOGIN-35</t>
        </is>
      </c>
      <c r="B66" s="22" t="inlineStr">
        <is>
          <t>Lưu ngày sinh là hôm nay lúc 00:30 giờ Việt Nam</t>
        </is>
      </c>
      <c r="C66" s="22" t="inlineStr">
        <is>
          <t>1. POST /auth/profile {ngay_sinh: "2026-10-08"}</t>
        </is>
      </c>
      <c r="D66" s="22" t="inlineStr">
        <is>
          <t>ngay_sinh: 2026-10-08</t>
        </is>
      </c>
      <c r="E66" s="22" t="inlineStr">
        <is>
          <t>204 (hôm nay theo giờ Asia/Ho_Chi_Minh — bất biến 7)</t>
        </is>
      </c>
      <c r="F66" s="22" t="inlineStr">
        <is>
          <t>422 {"detail":"invalid_date_of_birth"}</t>
        </is>
      </c>
      <c r="G66" s="22" t="inlineStr">
        <is>
          <t>Medium</t>
        </is>
      </c>
      <c r="H66" s="22" t="inlineStr">
        <is>
          <t>zannguyen</t>
        </is>
      </c>
      <c r="I66" s="22" t="inlineStr">
        <is>
          <t>`_validate_birth_date` (sign_in.py:230) so với `now.date()` trong khi `now()` (shared/clock.py) trả giờ UTC: từ 00:00 đến 07:00 giờ VN, "hôm nay" bị coi là ngày mai. Vi phạm bất biến 7 (múi giờ cố định Asia/Ho_Chi_Minh)
Log: evidence/test-integration.log</t>
        </is>
      </c>
    </row>
    <row r="67" ht="173" customHeight="1">
      <c r="A67" s="22" t="inlineStr">
        <is>
          <t>BUG-LOGIN-42</t>
        </is>
      </c>
      <c r="B67" s="22" t="inlineStr">
        <is>
          <t>Chạm lại ô OTP sau khi nhập sai để sửa mã</t>
        </is>
      </c>
      <c r="C67" s="22" t="inlineStr">
        <is>
          <t>1. Chạm vào ô mã OTP
2. Theo dõi request backend nhận được</t>
        </is>
      </c>
      <c r="D67" s="22" t="inlineStr">
        <is>
          <t>Ô đang chứa 000000</t>
        </is>
      </c>
      <c r="E67" s="22" t="inlineStr">
        <is>
          <t>Không gửi xác thực cho tới khi người dùng nhập mã mới đủ 6 số</t>
        </is>
      </c>
      <c r="F67" s="22" t="inlineStr">
        <is>
          <t>Backend nhận thêm một POST /auth/mobile/verify 401 với mã cũ ngay khi chạm ô (chuỗi request: otp 204, verify 401, verify 401, verify 200)</t>
        </is>
      </c>
      <c r="G67" s="22" t="inlineStr">
        <is>
          <t>Low</t>
        </is>
      </c>
      <c r="H67" s="22" t="inlineStr">
        <is>
          <t>zannguyen</t>
        </is>
      </c>
      <c r="I67" s="22" t="inlineStr">
        <is>
          <t>`OtpPinInput._handleTextChange` (frontend/mobile/lib/features/auth/presentation/widgets/otp_pin_input.dart:66–72) chạy với mọi thông báo của controller, kể cả khi chỉ đổi vị trí con trỏ lúc chạm ô, và gọi onCompleted hễ ô đủ 6 số → gửi lại mã sai, tốn hạn mức token_verifications
Log: evidence/test-e2e.log (mục "request backend trong pha 2"), evidence/implement-P10-run-phase2-requests.log</t>
        </is>
      </c>
    </row>
    <row r="68" ht="222.5" customHeight="1">
      <c r="A68" s="22" t="inlineStr">
        <is>
          <t>BUG-LINKCODE-28</t>
        </is>
      </c>
      <c r="B68" s="22" t="inlineStr">
        <is>
          <t>Toàn bộ unit test, architecture test và ruff toàn repo pass</t>
        </is>
      </c>
      <c r="C68" s="22" t="inlineStr">
        <is>
          <t>1. pytest tests/unit tests/architecture -q
2. ruff check .
3. So với baseline trước khi sửa code</t>
        </is>
      </c>
      <c r="D68" s="22" t="inlineStr">
        <is>
          <t>-</t>
        </is>
      </c>
      <c r="E68" s="22" t="inlineStr">
        <is>
          <t>pytest và ruff đều pass</t>
        </is>
      </c>
      <c r="F68" s="22" t="inlineStr">
        <is>
          <t>pytest tests/unit tests/architecture: 885 passed, 18 failed (test_contract_profile.py ×12, test_profile_http.py ×6); ruff check . 19 lỗi ở module khác. Cùng danh sách với baseline trước khi 3.13 sửa code; file của task pass ruff. Lỗi test_app.py của lần chạy 3.10 không còn</t>
        </is>
      </c>
      <c r="G68" s="22" t="inlineStr">
        <is>
          <t>Low</t>
        </is>
      </c>
      <c r="H68" s="22" t="inlineStr">
        <is>
          <t>zannguyen</t>
        </is>
      </c>
      <c r="I68" s="22" t="inlineStr">
        <is>
          <t>Có sẵn trên main, không do 3.10/3.13. Nghi vấn: 18 test profile fail vì api_contract (aea2b26) chưa có các endpoint /profile mà backend đã có (remote có nhánh fix/adhoc-20261015-api-contract-sync); 19 lỗi ruff ở catalog/*, runtime/*, worker.py, tests/unit/test_catalog_crud.py
Log: evidence/test-unit-2.log, evidence/implement-final-backend-2.log</t>
        </is>
      </c>
    </row>
    <row r="69" ht="305" customHeight="1">
      <c r="A69" s="22" t="inlineStr">
        <is>
          <t>BUG-MEDPICK-28</t>
        </is>
      </c>
      <c r="B69" s="22" t="inlineStr">
        <is>
          <t>Đọc và chọn thuốc trên thiết bị với cỡ chữ lớn và bàn phím</t>
        </is>
      </c>
      <c r="C69" s="22" t="inlineStr">
        <is>
          <t>1. Mở form và sheet; bật cỡ chữ lớn trong cấu hình thiết bị.
2. Kiểm hướng dẫn, loading, không kết quả, lỗi và retry.
3. Tìm thuốc, cuộn và chọn kết quả; kiểm form.
4. Sau khi chạm thuốc, kiểm tra vùng Thông tin thuốc đã chọn; bấm Xác nhận thuốc để trả về form.
5. Khôi phục cỡ chữ ban đầu sau test.</t>
        </is>
      </c>
      <c r="D69" s="22" t="inlineStr">
        <is>
          <t>Điện thoại LM G710 Android 13; cỡ chữ lớn; bàn phím mở</t>
        </is>
      </c>
      <c r="E69" s="22" t="inlineStr">
        <is>
          <t>Nội dung đọc/cuộn được; bàn phím không che thao tác; chọn trả đúng thuốc về form. Chạm dòng chỉ chọn; chỉ Xác nhận thuốc mới đóng sheet và trả lựa chọn.</t>
        </is>
      </c>
      <c r="F69" s="22" t="inlineStr">
        <is>
          <t>2026-10-28: Fail trên LM G710 Android 13, viewport 360×616 dp, text scale 1.5; keyboard thật 325.5 dp. Hướng dẫn/loading/503 một lần/retry/no-result/query99 và chọn từ API/DB local đã chạy. Chạm item đã chọn, nhưng vùng xem lại chỉ 21.34 dp &lt; một dòng metadata 35 dp. Không đủ đọc một dòng trước xác nhận; regression exit 1. Cấu hình thiết bị được khôi phục.</t>
        </is>
      </c>
      <c r="G69" s="22" t="inlineStr">
        <is>
          <t>Medium</t>
        </is>
      </c>
      <c r="H69" s="22" t="inlineStr">
        <is>
          <t>phucnguyenngoc</t>
        </is>
      </c>
      <c r="I69" s="22" t="inlineStr">
        <is>
          <t>Cùng nguyên nhân với BUG-MEDPICK-51: DrugCatalogSheet dùng constraints.maxHeight * 0.92 sau khi trừ keyboard; header và CTA chiếm chiều cao cố định, ListView xem lại còn quá thấp trên màn nhỏ/chữ lớn. Có cách tránh bằng đóng bàn phím hoặc giảm cỡ chữ. 2026-10-28: người dùng chấp nhận lỗi layout Medium và hoãn sửa trong task 4.16; giữ Fail theo bằng chứng. Quyết định: evidence/test-layout-risk-acceptance.log.
Log: evidence/test-pending-TC28-android-confirmed.log; evidence/pending-28-selected-review.png; evidence/test-layout-risk-acceptance.log</t>
        </is>
      </c>
    </row>
    <row r="70" ht="288.5" customHeight="1">
      <c r="A70" s="22" t="inlineStr">
        <is>
          <t>BUG-MEDPICK-51</t>
        </is>
      </c>
      <c r="B70" s="22" t="inlineStr">
        <is>
          <t>Đọc vùng xem lại ở màn nhỏ, chữ lớn khi bàn phím mở</t>
        </is>
      </c>
      <c r="C70" s="22" t="inlineStr">
        <is>
          <t>1. Chạy harness trên LM G710, viewport 360×616 dp và font hệ thống 1.5.
2. Mở OCR · Không có kết quả → Tìm kiếm thủ công; nhập no-match rồi tìm lại Paracetamol, giữ bàn phím thật mở.
3. Cuộn và chạm thuốc 500 mg; kiểm vùng Thông tin thuốc đã chọn và đọc từng dòng metadata trước xác nhận.
4. Đo viewport so với một dòng chữ; nếu đọc được thì tiếp tục đổi/xác nhận và danh sách dài; khôi phục cấu hình trong finally.</t>
        </is>
      </c>
      <c r="D70" s="22" t="inlineStr">
        <is>
          <t>LM G710 Android 13; wm 720×1280, density 320, font 1.5</t>
        </is>
      </c>
      <c r="E70" s="22" t="inlineStr">
        <is>
          <t>Vùng xem lại cuộn và đọc được trọn ít nhất một dòng metadata (35 dp ở cấu hình này); tên/hàm lượng lựa chọn kiểm tra được trước xác nhận, CTA ở trên bàn phím. Tiếp tục đổi/xác nhận đúng thuốc và danh sách dài; khôi phục cấu hình.</t>
        </is>
      </c>
      <c r="F70" s="22" t="inlineStr">
        <is>
          <t>Android 13 LM G710: viewport 360×616 dp, font 1.5, keyboard 325.5 dp; sau tìm Paracetamol và chạm demo-500, confirm bật nhưng danh sách/vùng xem lại chỉ khoảng 21.3 dp, không đọc được trọn dòng metadata. Regression kiểm chiều cao viewport so với một dòng chữ thất bại. Normal font1.0 đạt. Chưa sửa sản phẩm.</t>
        </is>
      </c>
      <c r="G70" s="22" t="inlineStr">
        <is>
          <t>Medium</t>
        </is>
      </c>
      <c r="H70" s="22" t="inlineStr">
        <is>
          <t>phucnguyenngoc</t>
        </is>
      </c>
      <c r="I70" s="22" t="inlineStr">
        <is>
          <t>DrugCatalogSheet giữ ô nhập và CTA ở chiều cao cố định, SizedBox dùng 0.92×constraints.maxHeight; khi Android 360×616 dp, font 1.5 và keyboard 325.5 dp, Expanded/ListView của panel còn khoảng 21.3 dp, nhỏ hơn một dòng metadata. Có workaround đóng bàn phím; cần sửa layout tại implement, không sửa trong test. 2026-10-28: người dùng chấp nhận lỗi layout Medium và hoãn sửa trong task 4.16; giữ Fail theo bằng chứng. Quyết định: evidence/test-layout-risk-acceptance.log.
Log: evidence/test-android-large-regression-v2.log; evidence/android-large-unreadable-review.png; evidence/test-layout-risk-acceptance.log</t>
        </is>
      </c>
    </row>
    <row r="71" ht="239" customHeight="1">
      <c r="A71" s="22" t="inlineStr">
        <is>
          <t>BUG-REGDOSE-01</t>
        </is>
      </c>
      <c r="B71" s="22" t="inlineStr">
        <is>
          <t>Đối chiếu scheduled_at có giây khi xác nhận liều</t>
        </is>
      </c>
      <c r="C71" s="22" t="inlineStr">
        <is>
          <t>1. Từ backend chạy .venv/Scripts/python.exe -m pytest tests/integration/test_dose_confirmation_api.py::test_post_doses_batch_creates_dose_log_for_authenticated_patient__AC1_AC10_AC18 -q -ra.
2. Fixture POST /doses/batch với danh sách một item ở Test Data.
3. Đối chiếu items[0].scheduled_at với kỳ vọng test hiện có.</t>
        </is>
      </c>
      <c r="D71" s="22" t="inlineStr">
        <is>
          <t>client_uuid: UUID mới; schedule_id: fixture; scheduled_at=2026-10-02T01:00:59.999Z; taken_at=2026-10-02T01:05:59.999Z</t>
        </is>
      </c>
      <c r="E71" s="22" t="inlineStr">
        <is>
          <t>Theo test hiện có: HTTP 200, synced, da_uong và scheduled_at=2026-10-02T01:00:00Z.</t>
        </is>
      </c>
      <c r="F71" s="22" t="inlineStr">
        <is>
          <t>HTTP 200, synced, da_uong; scheduled_at=2026-10-02T01:00:59.999000Z. Fail trong suite DB và lặp lại khi chạy riêng (1 failed trong 1.67s).</t>
        </is>
      </c>
      <c r="G71" s="22" t="inlineStr">
        <is>
          <t>Medium</t>
        </is>
      </c>
      <c r="H71" s="22" t="inlineStr">
        <is>
          <t>phucnguyenngoc</t>
        </is>
      </c>
      <c r="I71" s="22" t="inlineStr">
        <is>
          <t>Nghi vấn kỳ vọng chuẩn hóa tới phút trong test không khớp hành vi giữ thời điểm của API; chưa xác định phía nào sai theo contract/nghiệp vụ. Chưa chứng minh mất/trùng bản ghi liều; mức Medium tạm thời cho sai khác test, phải nâng tối thiểu High nếu xác nhận mất/trùng liều.
Log: evidence/test-integration-db.log; evidence/test-dose-mismatch-repeat.log</t>
        </is>
      </c>
    </row>
    <row r="72" ht="156.5" customHeight="1">
      <c r="A72" s="22" t="inlineStr">
        <is>
          <t>BUG-FALERT-19</t>
        </is>
      </c>
      <c r="B72" s="22" t="inlineStr">
        <is>
          <t>Lọc hộp thư mixed patient và từ chối patient_id trong PATCH</t>
        </is>
      </c>
      <c r="C72" s="22" t="inlineStr">
        <is>
          <t>1. Tạo hai notification cho F: P được phép và Q không có liên kết.
2. GET /notifications?patient_id=P&amp;user_id=Q; kiểm item và count.
3. PATCH notification Q với JSON {is_read:true,patient_id:P}.</t>
        </is>
      </c>
      <c r="D72" s="22" t="inlineStr">
        <is>
          <t>P/F là UUID synthetic mới mỗi lần; ID notification lấy từ DB fixture; giờ 2026-10-20T01:00:00Z.</t>
        </is>
      </c>
      <c r="E72" s="22" t="inlineStr">
        <is>
          <t>List chỉ trả P, total=unread_count=1 và Q có denied; PATCH field lạ phải trả 422.</t>
        </is>
      </c>
      <c r="F72" s="22" t="inlineStr">
        <is>
          <t>HTTP 503 notification_access_unavailable thay vì 422; assertion fail.</t>
        </is>
      </c>
      <c r="G72" s="22" t="inlineStr">
        <is>
          <t>Medium</t>
        </is>
      </c>
      <c r="H72" s="22" t="inlineStr">
        <is>
          <t>phucnguyenngoc</t>
        </is>
      </c>
      <c r="I72" s="22" t="inlineStr">
        <is>
          <t>Nghi vấn đã đối chiếu code: get_notification_uow bắt RequestValidationError trong except Exception và đổi thành ServiceUnavailable; NotificationRoute trả 503. Cùng một lỗi gốc ở 4 biến thể.
Log: evidence/test-task-integration-final.log</t>
        </is>
      </c>
    </row>
    <row r="73" ht="123.5" customHeight="1">
      <c r="A73" s="22" t="inlineStr">
        <is>
          <t>BUG-FALERT-36</t>
        </is>
      </c>
      <c r="B73" s="22" t="inlineStr">
        <is>
          <t>Từ chối tham số phân trang ngoài biên [params0]</t>
        </is>
      </c>
      <c r="C73" s="22" t="inlineStr">
        <is>
          <t>1. Đăng nhập F có notification và quyền hợp lệ.
2. GET /notifications với limit=0, limit=101 hoặc offset=-1 theo Test Data.
3. Kiểm HTTP status và Cache-Control.</t>
        </is>
      </c>
      <c r="D73" s="22" t="inlineStr">
        <is>
          <t>limit=0; offset=0</t>
        </is>
      </c>
      <c r="E73" s="22" t="inlineStr">
        <is>
          <t>422 validation, Cache-Control:no-store; không trả dữ liệu notification.</t>
        </is>
      </c>
      <c r="F73" s="22" t="inlineStr">
        <is>
          <t>HTTP 503 notification_access_unavailable thay vì 422; assertion fail.</t>
        </is>
      </c>
      <c r="G73" s="22" t="inlineStr">
        <is>
          <t>Medium</t>
        </is>
      </c>
      <c r="H73" s="22" t="inlineStr">
        <is>
          <t>phucnguyenngoc</t>
        </is>
      </c>
      <c r="I73" s="22" t="inlineStr">
        <is>
          <t>Nghi vấn đã đối chiếu code: get_notification_uow bắt RequestValidationError trong except Exception và đổi thành ServiceUnavailable; NotificationRoute trả 503. Cùng một lỗi gốc ở 4 biến thể.
Log: evidence/test-task-integration-final.log</t>
        </is>
      </c>
    </row>
    <row r="74" ht="123.5" customHeight="1">
      <c r="A74" s="22" t="inlineStr">
        <is>
          <t>BUG-FALERT-37</t>
        </is>
      </c>
      <c r="B74" s="22" t="inlineStr">
        <is>
          <t>Từ chối tham số phân trang ngoài biên [params1]</t>
        </is>
      </c>
      <c r="C74" s="22" t="inlineStr">
        <is>
          <t>1. Đăng nhập F có notification và quyền hợp lệ.
2. GET /notifications với limit=0, limit=101 hoặc offset=-1 theo Test Data.
3. Kiểm HTTP status và Cache-Control.</t>
        </is>
      </c>
      <c r="D74" s="22" t="inlineStr">
        <is>
          <t>limit=101; offset=0</t>
        </is>
      </c>
      <c r="E74" s="22" t="inlineStr">
        <is>
          <t>422 validation, Cache-Control:no-store; không trả dữ liệu notification.</t>
        </is>
      </c>
      <c r="F74" s="22" t="inlineStr">
        <is>
          <t>HTTP 503 notification_access_unavailable thay vì 422; assertion fail.</t>
        </is>
      </c>
      <c r="G74" s="22" t="inlineStr">
        <is>
          <t>Medium</t>
        </is>
      </c>
      <c r="H74" s="22" t="inlineStr">
        <is>
          <t>phucnguyenngoc</t>
        </is>
      </c>
      <c r="I74" s="22" t="inlineStr">
        <is>
          <t>Nghi vấn đã đối chiếu code: get_notification_uow bắt RequestValidationError trong except Exception và đổi thành ServiceUnavailable; NotificationRoute trả 503. Cùng một lỗi gốc ở 4 biến thể.
Log: evidence/test-task-integration-final.log</t>
        </is>
      </c>
    </row>
    <row r="75" ht="123.5" customHeight="1">
      <c r="A75" s="22" t="inlineStr">
        <is>
          <t>BUG-FALERT-38</t>
        </is>
      </c>
      <c r="B75" s="22" t="inlineStr">
        <is>
          <t>Từ chối tham số phân trang ngoài biên [params2]</t>
        </is>
      </c>
      <c r="C75" s="22" t="inlineStr">
        <is>
          <t>1. Đăng nhập F có notification và quyền hợp lệ.
2. GET /notifications với limit=0, limit=101 hoặc offset=-1 theo Test Data.
3. Kiểm HTTP status và Cache-Control.</t>
        </is>
      </c>
      <c r="D75" s="22" t="inlineStr">
        <is>
          <t>limit=20; offset=-1</t>
        </is>
      </c>
      <c r="E75" s="22" t="inlineStr">
        <is>
          <t>422 validation, Cache-Control:no-store; không trả dữ liệu notification.</t>
        </is>
      </c>
      <c r="F75" s="22" t="inlineStr">
        <is>
          <t>HTTP 503 notification_access_unavailable thay vì 422; assertion fail.</t>
        </is>
      </c>
      <c r="G75" s="22" t="inlineStr">
        <is>
          <t>Medium</t>
        </is>
      </c>
      <c r="H75" s="22" t="inlineStr">
        <is>
          <t>phucnguyenngoc</t>
        </is>
      </c>
      <c r="I75" s="22" t="inlineStr">
        <is>
          <t>Nghi vấn đã đối chiếu code: get_notification_uow bắt RequestValidationError trong except Exception và đổi thành ServiceUnavailable; NotificationRoute trả 503. Cùng một lỗi gốc ở 4 biến thể.
Log: evidence/test-task-integration-final.log</t>
        </is>
      </c>
    </row>
    <row r="76" ht="140" customHeight="1">
      <c r="A76" s="22" t="inlineStr">
        <is>
          <t>BUG-REDEEMFLOW-02</t>
        </is>
      </c>
      <c r="B76" s="22" t="inlineStr">
        <is>
          <t>Quét QR hợp lệ và chờ xác nhận trước khi gửi</t>
        </is>
      </c>
      <c r="C76" s="22" t="inlineStr">
        <is>
          <t>1. Cấp qr_payload cho scanner callback.
2. Kiểm số POST trước khi bấm xác nhận.
3. Bấm xác nhận và kiểm pending.</t>
        </is>
      </c>
      <c r="D76" s="22" t="inlineStr">
        <is>
          <t>qr_payload=body.qr_payload của GET /family/link-code</t>
        </is>
      </c>
      <c r="E76" s="22" t="inlineStr">
        <is>
          <t>Mã được điền; 0 POST trước xác nhận; sau xác nhận một POST 201 và một pending.</t>
        </is>
      </c>
      <c r="F76" s="22" t="inlineStr">
        <is>
          <t>Widget và Android LM_G710: 1 POST trước xác nhận (Expected 0, Actual 1); evidence/test-widget-redeem.log và evidence/test-android-remaining-phases.log.</t>
        </is>
      </c>
      <c r="G76" s="22" t="inlineStr">
        <is>
          <t>Medium</t>
        </is>
      </c>
      <c r="H76" s="22" t="inlineStr">
        <is>
          <t>phucnguyenngoc</t>
        </is>
      </c>
      <c r="I76" s="22" t="inlineStr">
        <is>
          <t>scan_link_qr_screen.dart đặt autoSubmit=true, enter_link_code_screen.dart tự submit sau frame đầu.
Log: evidence/test-widget-redeem.log</t>
        </is>
      </c>
    </row>
    <row r="77" ht="305" customHeight="1">
      <c r="A77" s="22" t="inlineStr">
        <is>
          <t>BUG-FADH-20</t>
        </is>
      </c>
      <c r="B77" s="22" t="inlineStr">
        <is>
          <t>Tính ngay xác nhận tại -30 phút</t>
        </is>
      </c>
      <c r="C77" s="22" t="inlineStr">
        <is>
          <t>1. Chạy test tại backend/tests/unit/test_get_adherence_history.py với delay0, cả group_by=date và medication.
2. Quan sát ở đúng taken_at; kiểm summary, nhóm và một dose.</t>
        </is>
      </c>
      <c r="D77" s="22" t="inlineStr">
        <is>
          <t>scheduled_at=08:00 +07; delay=-30 phút; status=da_uong</t>
        </is>
      </c>
      <c r="E77" s="22" t="inlineStr">
        <is>
          <t>total=1, counted=1, rate=100.00; taken/late đúng trạng thái; đúng một liều ngay khi xác nhận.</t>
        </is>
      </c>
      <c r="F77" s="22" t="inlineStr">
        <is>
          <t>Hai ca unit và hai ca family API/DB (date/medication) Fail: xác nhận -30 được nhận, dose_log tồn tại và audit allowed nhưng lịch sử total/taken/counted=0, rate=null thay vì 1/100. Lượt P7 chạy lại toàn backend integration: nhóm history API/PEP 66 Pass/2 Fail, TC20 vẫn Fail ở hai grouping; các ca khác trong nhóm này giữ kết quả. evidence/test-p7-integration.log/xml.</t>
        </is>
      </c>
      <c r="G77" s="22" t="inlineStr">
        <is>
          <t>Medium</t>
        </is>
      </c>
      <c r="H77" s="22" t="inlineStr">
        <is>
          <t>phucnguyenngoc</t>
        </is>
      </c>
      <c r="I77" s="22" t="inlineStr">
        <is>
          <t>BUG-3.25-01: domain build_history và SQL reader lọc scheduled_at &lt;= as_of; đã tái hiện ở family API/DB, không chỉ unit. Contract gốc giữ quy tắc loại liều chưa đến giờ, khác ngoại lệ AC3 được người dùng chốt.
Log: evidence/test-contract-history-final.log</t>
        </is>
      </c>
    </row>
  </sheetData>
  <mergeCells count="2">
    <mergeCell ref="A1:G1"/>
    <mergeCell ref="A3:A5"/>
  </mergeCells>
  <conditionalFormatting sqref="F11:F36">
    <cfRule type="cellIs" priority="1" operator="greaterThan" dxfId="0">
      <formula>0.2</formula>
    </cfRule>
  </conditionalFormatting>
  <conditionalFormatting sqref="G11:G36">
    <cfRule type="expression" priority="2" dxfId="0">
      <formula>OR(G11="Critical",G11="High")</formula>
    </cfRule>
  </conditionalFormatting>
  <conditionalFormatting sqref="G61:G77">
    <cfRule type="cellIs" priority="3" operator="equal" dxfId="1">
      <formula>"Critical"</formula>
    </cfRule>
    <cfRule type="cellIs" priority="4" operator="equal" dxfId="2">
      <formula>"High"</formula>
    </cfRule>
    <cfRule type="cellIs" priority="5" operator="equal" dxfId="3">
      <formula>"Medium"</formula>
    </cfRule>
  </conditionalFormatting>
  <dataValidations count="2">
    <dataValidation sqref="G11:G36" showDropDown="0" showInputMessage="0" showErrorMessage="0" allowBlank="1" type="list">
      <formula1>"Critical,High,Medium,Low"</formula1>
    </dataValidation>
    <dataValidation sqref="G61:G77" showDropDown="0" showInputMessage="0" showErrorMessage="0" allowBlank="1" type="list">
      <formula1>"Critical,High,Medium,Low"</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2026-09-21T13:11:58Z</dcterms:created>
  <dcterms:modified xmlns:dcterms="http://purl.org/dc/terms/" xmlns:xsi="http://www.w3.org/2001/XMLSchema-instance" xsi:type="dcterms:W3CDTF">2026-10-28T15:16:33Z</dcterms:modified>
  <cp:lastModifiedBy>Người dùng Khách</cp:lastModifiedBy>
</cp:coreProperties>
</file>