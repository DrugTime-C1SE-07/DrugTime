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 Dataset" sheetId="1" state="visible" r:id="rId1"/>
    <sheet xmlns:r="http://schemas.openxmlformats.org/officeDocument/2006/relationships" name="Report" sheetId="2" state="visible" r:id="rId2"/>
  </sheets>
  <definedNames>
    <definedName name="_xlnm._FilterDatabase" localSheetId="0" hidden="1">'Packaging Dataset'!$A$8:$I$16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Bộ ảnh bao bì có nhãn (PKGDATA)</t>
        </is>
      </c>
    </row>
    <row r="3">
      <c r="A3" s="1" t="inlineStr">
        <is>
          <t>Created By</t>
        </is>
      </c>
      <c r="B3" s="2" t="inlineStr">
        <is>
          <t>Bao Nguyen</t>
        </is>
      </c>
    </row>
    <row r="4">
      <c r="A4" s="1" t="inlineStr">
        <is>
          <t>Creation Date</t>
        </is>
      </c>
      <c r="B4" s="3" t="n">
        <v>46324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</row>
    <row r="9" ht="74" customHeight="1">
      <c r="A9" s="4" t="inlineStr">
        <is>
          <t>TC-PKGDATA-01</t>
        </is>
      </c>
      <c r="B9" s="4" t="inlineStr">
        <is>
          <t>Kiểm mỗi ảnh có một ID và một hàng nhãn</t>
        </is>
      </c>
      <c r="C9" s="5" t="inlineStr">
        <is>
          <t>Có bộ datasets v1 và Python/bundled Python theo hướng dẫn.</t>
        </is>
      </c>
      <c r="D9" s="5" t="inlineStr">
        <is>
          <t>1. Chạy bundled Python work/4.08-ocr-capture-evaluation/scratch/verify_v1.py.
2. Đối chiếu PASS tương ứng, manifest/annotations và log; không sửa source.</t>
        </is>
      </c>
      <c r="E9" s="5" t="inlineStr">
        <is>
          <t>49 ảnh/49 dòng; 28 hộp,21 vỉ.</t>
        </is>
      </c>
      <c r="F9" s="5" t="inlineStr">
        <is>
          <t>ID duy nhất, path tồn tại, reader 0 lỗi.</t>
        </is>
      </c>
      <c r="G9" s="5" t="inlineStr">
        <is>
          <t>PASS T1; 49 unique IDs, đường dẫn và số hàng khớp.</t>
        </is>
      </c>
      <c r="H9" s="4" t="inlineStr">
        <is>
          <t>Pass</t>
        </is>
      </c>
      <c r="I9" s="5" t="inlineStr">
        <is>
          <t>AC1 · Kiểm bất biến/phân lớp tương đương · evidence/test-v1-integrity.log</t>
        </is>
      </c>
    </row>
    <row r="10" ht="74" customHeight="1">
      <c r="A10" s="4" t="inlineStr">
        <is>
          <t>TC-PKGDATA-02</t>
        </is>
      </c>
      <c r="B10" s="4" t="inlineStr">
        <is>
          <t>Người kiểm khác đối chiếu nhãn/PHI trên từng ảnh</t>
        </is>
      </c>
      <c r="C10" s="5" t="inlineStr">
        <is>
          <t>Có bộ datasets v1 và Python/bundled Python theo hướng dẫn.</t>
        </is>
      </c>
      <c r="D10" s="5" t="inlineStr">
        <is>
          <t>1. Mở từng ảnh gốc, không dùng raw OCR làm đáp án.
2. Đối chiếu name/strength/PHI và nguồn; ghi người/ngày xác minh độc lập.</t>
        </is>
      </c>
      <c r="E10" s="5" t="inlineStr">
        <is>
          <t>49 ảnh, annotations review AI; tên dài và chữ cách điệu.</t>
        </is>
      </c>
      <c r="F10" s="5" t="inlineStr">
        <is>
          <t>Tên/strength đúng bao bì; chưa rõ ghi pending; không PHI/secret; ghi người/ngày thực.</t>
        </is>
      </c>
      <c r="G10" s="5" t="inlineStr"/>
      <c r="H10" s="4" t="inlineStr">
        <is>
          <t>Pending</t>
        </is>
      </c>
      <c r="I10" s="5" t="inlineStr">
        <is>
          <t>AC2, AC3, AC5 · manual · evidence/test-v1-integrity.log</t>
        </is>
      </c>
    </row>
    <row r="11" ht="74" customHeight="1">
      <c r="A11" s="4" t="inlineStr">
        <is>
          <t>TC-PKGDATA-03</t>
        </is>
      </c>
      <c r="B11" s="4" t="inlineStr">
        <is>
          <t>Giữ hàm lượng thiếu và phân biệt thương hiệu</t>
        </is>
      </c>
      <c r="C11" s="5" t="inlineStr">
        <is>
          <t>Có bộ datasets v1 và Python/bundled Python theo hướng dẫn.</t>
        </is>
      </c>
      <c r="D11" s="5" t="inlineStr">
        <is>
          <t>1. Chạy bundled Python work/4.08-ocr-capture-evaluation/scratch/verify_v1.py.
2. Đối chiếu PASS tương ứng, manifest/annotations và log; không sửa source.</t>
        </is>
      </c>
      <c r="E11" s="5" t="inlineStr">
        <is>
          <t>1-AL hộp trắng strength trống; Bisoheart khác A.TBisoprolol; Lifezine khác 1-AL.</t>
        </is>
      </c>
      <c r="F11" s="5" t="inlineStr">
        <is>
          <t>Các trường ghi theo ảnh review, không suy từ folder/hoạt chất; không tự xác nhận cùng sản phẩm.</t>
        </is>
      </c>
      <c r="G11" s="5" t="inlineStr">
        <is>
          <t>PASS workbook/annotations; thay đổi có nhật ký, ô không liên quan giữ nguyên. Chưa thay human review.</t>
        </is>
      </c>
      <c r="H11" s="4" t="inlineStr">
        <is>
          <t>Pass</t>
        </is>
      </c>
      <c r="I11" s="5" t="inlineStr">
        <is>
          <t>AC2, AC3 · Kiểm bất biến/phân lớp tương đương · evidence/test-v1-integrity.log</t>
        </is>
      </c>
    </row>
    <row r="12" ht="74" customHeight="1">
      <c r="A12" s="4" t="inlineStr">
        <is>
          <t>TC-PKGDATA-04</t>
        </is>
      </c>
      <c r="B12" s="4" t="inlineStr">
        <is>
          <t>Đối chiếu manifest với byte nguồn</t>
        </is>
      </c>
      <c r="C12" s="5" t="inlineStr">
        <is>
          <t>Có bộ datasets v1 và Python/bundled Python theo hướng dẫn.</t>
        </is>
      </c>
      <c r="D12" s="5" t="inlineStr">
        <is>
          <t>1. Chạy bundled Python work/4.08-ocr-capture-evaluation/scratch/verify_v1.py.
2. Đối chiếu PASS tương ứng, manifest/annotations và log; không sửa source.</t>
        </is>
      </c>
      <c r="E12" s="5" t="inlineStr">
        <is>
          <t>manifest/workbook/49 ảnh/annotations hash.</t>
        </is>
      </c>
      <c r="F12" s="5" t="inlineStr">
        <is>
          <t>Hash byte thực khớp snapshot, thống kê28/21 và tổng49; ảnh không đổi.</t>
        </is>
      </c>
      <c r="G12" s="5" t="inlineStr">
        <is>
          <t>PASS T4; 49 image hashes unchanged, manifest và annotations SHA-256 khớp.</t>
        </is>
      </c>
      <c r="H12" s="4" t="inlineStr">
        <is>
          <t>Pass</t>
        </is>
      </c>
      <c r="I12" s="5" t="inlineStr">
        <is>
          <t>AC4 · Kiểm bất biến/phân lớp tương đương · evidence/test-v1-integrity.log</t>
        </is>
      </c>
    </row>
    <row r="13" ht="74" customHeight="1">
      <c r="A13" s="4" t="inlineStr">
        <is>
          <t>TC-PKGDATA-05</t>
        </is>
      </c>
      <c r="B13" s="4" t="inlineStr">
        <is>
          <t>Ghi trung thực nguồn chưa rõ và người rà là AI</t>
        </is>
      </c>
      <c r="C13" s="5" t="inlineStr">
        <is>
          <t>Có bộ datasets v1 và Python/bundled Python theo hướng dẫn.</t>
        </is>
      </c>
      <c r="D13" s="5" t="inlineStr">
        <is>
          <t>1. Chạy bundled Python work/4.08-ocr-capture-evaluation/scratch/verify_v1.py.
2. Đối chiếu PASS tương ứng, manifest/annotations và log; không sửa source.</t>
        </is>
      </c>
      <c r="E13" s="5" t="inlineStr">
        <is>
          <t>49 annotations, nguồn gốc/thiết bị không rõ; watermark nhìn thấy.</t>
        </is>
      </c>
      <c r="F13" s="5" t="inlineStr">
        <is>
          <t>unknown giữ rõ, reviewer là Codex visual inspection, không giả human sign-off.</t>
        </is>
      </c>
      <c r="G13" s="5" t="inlineStr">
        <is>
          <t>PASS T2/T3; 49 reviewer/date đúng, unknown không bịa URL/thiết bị.</t>
        </is>
      </c>
      <c r="H13" s="4" t="inlineStr">
        <is>
          <t>Pass</t>
        </is>
      </c>
      <c r="I13" s="5" t="inlineStr">
        <is>
          <t>AC4, AC5 · Kiểm bất biến/phân lớp tương đương · evidence/test-v1-integrity.log</t>
        </is>
      </c>
    </row>
    <row r="14" ht="74" customHeight="1">
      <c r="A14" s="4" t="inlineStr">
        <is>
          <t>TC-PKGDATA-06</t>
        </is>
      </c>
      <c r="B14" s="4" t="inlineStr">
        <is>
          <t>Phát hiện byte ảnh đổi sau snapshot trên fixture</t>
        </is>
      </c>
      <c r="C14" s="5" t="inlineStr">
        <is>
          <t>Có bộ datasets v1 và Python/bundled Python theo hướng dẫn.</t>
        </is>
      </c>
      <c r="D14" s="5" t="inlineStr">
        <is>
          <t>1. Chạy python -m unittest discover -s datasets/scripts -p test_ocr_dataset.py -k test_snapshot_tracks_actual_image_bytes -v.
2. Đọc ok; fixture tự dọn, không đổi ảnh gốc.</t>
        </is>
      </c>
      <c r="E14" s="5" t="inlineStr">
        <is>
          <t>Fixture img1.jpg thay bytes; snapshot trước/sau.</t>
        </is>
      </c>
      <c r="F14" s="5" t="inlineStr">
        <is>
          <t>Dataset hash đổi, không chỉ so hai chuỗi khai báo.</t>
        </is>
      </c>
      <c r="G14" s="5" t="inlineStr">
        <is>
          <t>test_snapshot_tracks_actual_image_bytes: ok trong bộ41 unit phiên này; ../4.09-mlkit-prototype/evidence/test-v1-unit.log</t>
        </is>
      </c>
      <c r="H14" s="4" t="inlineStr">
        <is>
          <t>Pass</t>
        </is>
      </c>
      <c r="I14" s="5" t="inlineStr">
        <is>
          <t>AC4 · Kiểm bất biến/phân lớp tương đương · evidence/test-v1-integrity.log</t>
        </is>
      </c>
    </row>
    <row r="15" ht="74" customHeight="1">
      <c r="A15" s="4" t="inlineStr">
        <is>
          <t>TC-PKGDATA-07</t>
        </is>
      </c>
      <c r="B15" s="4" t="inlineStr">
        <is>
          <t>Kiểm tài liệu bàn giao và trạng thái publish</t>
        </is>
      </c>
      <c r="C15" s="5" t="inlineStr">
        <is>
          <t>Có bộ datasets v1 và Python/bundled Python theo hướng dẫn.</t>
        </is>
      </c>
      <c r="D15" s="5" t="inlineStr">
        <is>
          <t>1. Chạy bundled Python work/4.08-ocr-capture-evaluation/scratch/verify_v1.py.
2. Đối chiếu PASS tương ứng, manifest/annotations và log; không sửa source.</t>
        </is>
      </c>
      <c r="E15" s="5" t="inlineStr">
        <is>
          <t>README dẫn labels, annotations.v1.csv, manifest.v1.json và kết quả pilot.</t>
        </is>
      </c>
      <c r="F15" s="5" t="inlineStr">
        <is>
          <t>Link file có thật, chỉ dẫn tái hiện và local-only/pending rõ; không phụ thuộc engine cũ.</t>
        </is>
      </c>
      <c r="G15" s="5" t="inlineStr">
        <is>
          <t>Đã đọc README; các file đích tồn tại và ghi chưa commit/push; không coi là đã kiểm clone.</t>
        </is>
      </c>
      <c r="H15" s="4" t="inlineStr">
        <is>
          <t>Pass</t>
        </is>
      </c>
      <c r="I15" s="5" t="inlineStr">
        <is>
          <t>AC4, AC6 · Kiểm bất biến/phân lớp tương đương · evidence/test-v1-integrity.log</t>
        </is>
      </c>
    </row>
    <row r="16" ht="74" customHeight="1">
      <c r="A16" s="4" t="inlineStr">
        <is>
          <t>TC-PKGDATA-08</t>
        </is>
      </c>
      <c r="B16" s="4" t="inlineStr">
        <is>
          <t>Clone/pull và kiểm bộ dữ liệu trên checkout khác</t>
        </is>
      </c>
      <c r="C16" s="5" t="inlineStr">
        <is>
          <t>Có bộ datasets v1 và Python/bundled Python theo hướng dẫn.</t>
        </is>
      </c>
      <c r="D16" s="5" t="inlineStr">
        <is>
          <t>1. Sau khi người dùng yêu cầu và review, commit/push đúng phạm vi.
2. Clone/pull từ remote vào checkout khác và kiểm số file/hash theo manifest.</t>
        </is>
      </c>
      <c r="E16" s="5" t="inlineStr">
        <is>
          <t>Chưa có commit/push/PR theo yêu cầu người dùng.</t>
        </is>
      </c>
      <c r="F16" s="5" t="inlineStr">
        <is>
          <t>Sau publish được yêu cầu, nhóm clone/pull lấy đủ ảnh/nhãn/README/hash và tái hiện kiểm.</t>
        </is>
      </c>
      <c r="G16" s="5" t="inlineStr"/>
      <c r="H16" s="4" t="inlineStr">
        <is>
          <t>Pending</t>
        </is>
      </c>
      <c r="I16" s="5" t="inlineStr">
        <is>
          <t>AC6 · manual · evidence/test-v1-integrity.log</t>
        </is>
      </c>
    </row>
    <row r="17"/>
    <row r="18"/>
    <row r="19">
      <c r="G19" s="6" t="inlineStr">
        <is>
          <t>Pass</t>
        </is>
      </c>
      <c r="H19" s="7">
        <f>COUNTIF(H9:H16,"Pass")</f>
        <v/>
      </c>
    </row>
    <row r="20">
      <c r="G20" s="6" t="inlineStr">
        <is>
          <t>Fail</t>
        </is>
      </c>
      <c r="H20" s="7">
        <f>COUNTIF(H9:H16,"Fail")</f>
        <v/>
      </c>
    </row>
    <row r="21">
      <c r="G21" s="6" t="inlineStr">
        <is>
          <t>Pending</t>
        </is>
      </c>
      <c r="H21" s="7">
        <f>COUNTIF(H9:H16,"Pending")</f>
        <v/>
      </c>
    </row>
    <row r="22">
      <c r="G22" s="6" t="inlineStr">
        <is>
          <t>Total</t>
        </is>
      </c>
      <c r="H22" s="7">
        <f>SUM(H19:H21)</f>
        <v/>
      </c>
    </row>
  </sheetData>
  <autoFilter ref="A8:I16"/>
  <conditionalFormatting sqref="H9:H16">
    <cfRule type="cellIs" priority="1" operator="equal" dxfId="0">
      <formula>"Fail"</formula>
    </cfRule>
  </conditionalFormatting>
  <dataValidations count="1">
    <dataValidation sqref="H9:H16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8" t="inlineStr">
        <is>
          <t>TEST REPORT</t>
        </is>
      </c>
    </row>
    <row r="2">
      <c r="C2" s="9" t="inlineStr">
        <is>
          <t>Bao Nguyen</t>
        </is>
      </c>
      <c r="D2" s="9" t="inlineStr">
        <is>
          <t>Total</t>
        </is>
      </c>
    </row>
    <row r="3">
      <c r="A3" s="9" t="inlineStr">
        <is>
          <t>Executed</t>
        </is>
      </c>
      <c r="B3" s="10" t="inlineStr">
        <is>
          <t>Passed</t>
        </is>
      </c>
      <c r="C3" s="11">
        <f>'Packaging Dataset'!$H$19</f>
        <v/>
      </c>
      <c r="D3" s="9">
        <f>SUM(C3:C3)</f>
        <v/>
      </c>
    </row>
    <row r="4">
      <c r="A4" s="12" t="n"/>
      <c r="B4" s="10" t="inlineStr">
        <is>
          <t>Failed</t>
        </is>
      </c>
      <c r="C4" s="11">
        <f>'Packaging Dataset'!$H$20</f>
        <v/>
      </c>
      <c r="D4" s="9">
        <f>SUM(C4:C4)</f>
        <v/>
      </c>
    </row>
    <row r="5">
      <c r="A5" s="13" t="n"/>
      <c r="B5" s="10" t="inlineStr">
        <is>
          <t>(Total) Test executed (Passed + Failed)</t>
        </is>
      </c>
      <c r="C5" s="11">
        <f>C3+C4</f>
        <v/>
      </c>
      <c r="D5" s="9">
        <f>SUM(C5:C5)</f>
        <v/>
      </c>
    </row>
    <row r="6">
      <c r="A6" s="9" t="inlineStr">
        <is>
          <t>Pending</t>
        </is>
      </c>
      <c r="B6" s="14" t="inlineStr"/>
      <c r="C6" s="11">
        <f>'Packaging Dataset'!$H$21</f>
        <v/>
      </c>
      <c r="D6" s="9">
        <f>SUM(C6:C6)</f>
        <v/>
      </c>
    </row>
    <row r="7">
      <c r="A7" s="9" t="inlineStr">
        <is>
          <t>(Sub-total) Test Planned</t>
        </is>
      </c>
      <c r="B7" s="14" t="inlineStr"/>
      <c r="C7" s="11">
        <f>C5+C6</f>
        <v/>
      </c>
      <c r="D7" s="9">
        <f>SUM(C7:C7)</f>
        <v/>
      </c>
    </row>
    <row r="10">
      <c r="A10" s="15" t="inlineStr">
        <is>
          <t>Function</t>
        </is>
      </c>
      <c r="B10" s="15" t="inlineStr">
        <is>
          <t>Description</t>
        </is>
      </c>
      <c r="C10" s="15" t="inlineStr">
        <is>
          <t>Sheet Name</t>
        </is>
      </c>
      <c r="D10" s="15" t="inlineStr">
        <is>
          <t>% TCs Executed</t>
        </is>
      </c>
      <c r="E10" s="15" t="inlineStr">
        <is>
          <t>% TCs Passed</t>
        </is>
      </c>
      <c r="F10" s="15" t="inlineStr">
        <is>
          <t>% TCs Failed</t>
        </is>
      </c>
      <c r="G10" s="15" t="inlineStr">
        <is>
          <t>Priority</t>
        </is>
      </c>
      <c r="H10" s="15" t="inlineStr">
        <is>
          <t>Remarks</t>
        </is>
      </c>
      <c r="I10" s="15" t="inlineStr">
        <is>
          <t>Done by</t>
        </is>
      </c>
    </row>
    <row r="11" ht="90.5" customHeight="1">
      <c r="A11" s="11" t="inlineStr">
        <is>
          <t>Bộ ảnh bao bì có nhãn</t>
        </is>
      </c>
      <c r="B11" s="14" t="inlineStr">
        <is>
          <t>Phiên bản/hash/nguồn/xác minh/bàn giao bộ ảnh PB31</t>
        </is>
      </c>
      <c r="C11" s="11" t="inlineStr">
        <is>
          <t>Packaging Dataset</t>
        </is>
      </c>
      <c r="D11" s="16">
        <f>IFERROR(('Packaging Dataset'!$H$22-'Packaging Dataset'!$H$21)/'Packaging Dataset'!$H$22,0)</f>
        <v/>
      </c>
      <c r="E11" s="16">
        <f>IFERROR('Packaging Dataset'!$H$19/'Packaging Dataset'!$H$22,0)</f>
        <v/>
      </c>
      <c r="F11" s="16">
        <f>IFERROR('Packaging Dataset'!$H$20/'Packaging Dataset'!$H$22,0)</f>
        <v/>
      </c>
      <c r="G11" s="11" t="inlineStr">
        <is>
          <t>Medium</t>
        </is>
      </c>
      <c r="H11" s="14" t="inlineStr">
        <is>
          <t>6 kiểm tự động/tài liệu Pass; review độc lập và clone/publish Pending; không có engine nghiên cứu.</t>
        </is>
      </c>
      <c r="I11" s="11" t="inlineStr">
        <is>
          <t>Bao Nguyen</t>
        </is>
      </c>
    </row>
    <row r="34">
      <c r="A34" s="17" t="inlineStr">
        <is>
          <t>Bug Report</t>
        </is>
      </c>
    </row>
    <row r="35">
      <c r="A35" s="18" t="inlineStr">
        <is>
          <t>Bug ID</t>
        </is>
      </c>
      <c r="B35" s="18" t="inlineStr">
        <is>
          <t>Description</t>
        </is>
      </c>
      <c r="C35" s="18" t="inlineStr">
        <is>
          <t>Steps to Reproduce</t>
        </is>
      </c>
      <c r="D35" s="18" t="inlineStr">
        <is>
          <t>Input Data</t>
        </is>
      </c>
      <c r="E35" s="18" t="inlineStr">
        <is>
          <t>Expected Result</t>
        </is>
      </c>
      <c r="F35" s="18" t="inlineStr">
        <is>
          <t>Actual Result</t>
        </is>
      </c>
      <c r="G35" s="18" t="inlineStr">
        <is>
          <t>Severity</t>
        </is>
      </c>
      <c r="H35" s="18" t="inlineStr">
        <is>
          <t>Name of Tester</t>
        </is>
      </c>
      <c r="I35" s="18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2026-10-29T09:37:52Z</dcterms:created>
  <dcterms:modified xmlns:dcterms="http://purl.org/dc/terms/" xmlns:xsi="http://www.w3.org/2001/XMLSchema-instance" xsi:type="dcterms:W3CDTF">2026-10-29T09:37:52Z</dcterms:modified>
</cp:coreProperties>
</file>