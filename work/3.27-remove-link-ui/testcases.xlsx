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gười giám sát" sheetId="1" state="visible" r:id="rId1"/>
    <sheet name="Report" sheetId="2" state="visible" r:id="rId2"/>
  </sheets>
  <definedNames>
    <definedName name="_xlnm._FilterDatabase" localSheetId="0" hidden="1">'Người giám sát'!$A$8:$I$44</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7">
    <font>
      <name val="Calibri"/>
      <family val="2"/>
      <color theme="1"/>
      <sz val="11"/>
      <scheme val="minor"/>
    </font>
    <font>
      <name val="Times New Roman"/>
      <b val="1"/>
      <sz val="12"/>
    </font>
    <font>
      <name val="Times New Roman"/>
      <sz val="12"/>
    </font>
    <font>
      <name val="Times New Roman"/>
      <b val="1"/>
      <sz val="11"/>
    </font>
    <font>
      <name val="Times New Roman"/>
      <sz val="11"/>
    </font>
    <font>
      <name val="Times New Roman"/>
      <b val="1"/>
      <sz val="18"/>
    </font>
    <font>
      <name val="Times New Roman"/>
      <b val="1"/>
      <sz val="14"/>
    </font>
  </fonts>
  <fills count="5">
    <fill>
      <patternFill/>
    </fill>
    <fill>
      <patternFill patternType="gray125"/>
    </fill>
    <fill>
      <patternFill patternType="solid">
        <fgColor rgb="006AA84F"/>
      </patternFill>
    </fill>
    <fill>
      <patternFill patternType="solid">
        <fgColor rgb="00A8D08D"/>
      </patternFill>
    </fill>
    <fill>
      <patternFill patternType="solid">
        <fgColor rgb="00FFFF00"/>
      </patternFill>
    </fill>
  </fills>
  <borders count="6">
    <border>
      <left/>
      <right/>
      <top/>
      <bottom/>
      <diagonal/>
    </border>
    <border>
      <left style="medium"/>
      <right style="medium"/>
      <top style="medium"/>
      <bottom style="medium"/>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165" fontId="2" fillId="2" borderId="1" applyAlignment="1" pivotButton="0" quotePrefix="0" xfId="0">
      <alignment horizontal="center" vertical="center" wrapText="1"/>
    </xf>
    <xf numFmtId="0" fontId="1" fillId="0" borderId="0" applyAlignment="1" pivotButton="0" quotePrefix="0" xfId="0">
      <alignment horizontal="left" vertical="center" wrapText="1"/>
    </xf>
    <xf numFmtId="0" fontId="1" fillId="2" borderId="2" applyAlignment="1" pivotButton="0" quotePrefix="0" xfId="0">
      <alignment horizontal="center" vertical="center" wrapText="1"/>
    </xf>
    <xf numFmtId="0" fontId="1" fillId="2" borderId="2"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1" fillId="0" borderId="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2" applyAlignment="1" pivotButton="0" quotePrefix="0" xfId="0">
      <alignment horizontal="center" vertical="center" wrapText="1"/>
    </xf>
    <xf numFmtId="0" fontId="5" fillId="3" borderId="0" applyAlignment="1" pivotButton="0" quotePrefix="0" xfId="0">
      <alignment horizontal="center" vertical="center" wrapText="1"/>
    </xf>
    <xf numFmtId="0" fontId="1" fillId="0" borderId="2" applyAlignment="1" pivotButton="0" quotePrefix="0" xfId="0">
      <alignment horizontal="center" vertical="center" wrapText="1"/>
    </xf>
    <xf numFmtId="0" fontId="0" fillId="0" borderId="4" pivotButton="0" quotePrefix="0" xfId="0"/>
    <xf numFmtId="0" fontId="0" fillId="0" borderId="5" pivotButton="0" quotePrefix="0" xfId="0"/>
    <xf numFmtId="9" fontId="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3" fillId="4" borderId="2" applyAlignment="1" pivotButton="0" quotePrefix="0" xfId="0">
      <alignment horizontal="center" vertical="center" wrapText="1"/>
    </xf>
  </cellXfs>
  <cellStyles count="1">
    <cellStyle name="Normal" xfId="0" builtinId="0" hidden="0"/>
  </cellStyles>
  <dxfs count="4">
    <dxf>
      <font>
        <color rgb="009C0006"/>
      </font>
      <fill>
        <patternFill patternType="solid">
          <bgColor rgb="00FFC7CE"/>
        </patternFill>
      </fill>
    </dxf>
    <dxf>
      <font>
        <b val="1"/>
        <color rgb="00FFFFFF"/>
      </font>
      <fill>
        <patternFill patternType="solid">
          <bgColor rgb="00C00000"/>
        </patternFill>
      </fill>
    </dxf>
    <dxf>
      <font>
        <b val="1"/>
        <color rgb="00FFFFFF"/>
      </font>
      <fill>
        <patternFill patternType="solid">
          <bgColor rgb="00FF0000"/>
        </patternFill>
      </fill>
    </dxf>
    <dxf>
      <font>
        <b val="1"/>
        <color rgb="00000000"/>
      </font>
      <fill>
        <patternFill patternType="solid">
          <bgColor rgb="00FFE5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Kết quả theo chức năng</a:t>
            </a:r>
          </a:p>
        </rich>
      </tx>
    </title>
    <plotArea>
      <barChart>
        <barDir val="col"/>
        <grouping val="clustered"/>
        <ser>
          <idx val="0"/>
          <order val="0"/>
          <tx>
            <strRef>
              <f>'Report'!D10</f>
            </strRef>
          </tx>
          <spPr>
            <a:ln>
              <a:prstDash val="solid"/>
            </a:ln>
          </spPr>
          <cat>
            <numRef>
              <f>'Report'!$A$11</f>
            </numRef>
          </cat>
          <val>
            <numRef>
              <f>'Report'!$D$11</f>
            </numRef>
          </val>
        </ser>
        <ser>
          <idx val="1"/>
          <order val="1"/>
          <tx>
            <strRef>
              <f>'Report'!E10</f>
            </strRef>
          </tx>
          <spPr>
            <a:ln>
              <a:prstDash val="solid"/>
            </a:ln>
          </spPr>
          <cat>
            <numRef>
              <f>'Report'!$A$11</f>
            </numRef>
          </cat>
          <val>
            <numRef>
              <f>'Report'!$E$11</f>
            </numRef>
          </val>
        </ser>
        <ser>
          <idx val="2"/>
          <order val="2"/>
          <tx>
            <strRef>
              <f>'Report'!F10</f>
            </strRef>
          </tx>
          <spPr>
            <a:ln>
              <a:prstDash val="solid"/>
            </a:ln>
          </spPr>
          <cat>
            <numRef>
              <f>'Report'!$A$11</f>
            </numRef>
          </cat>
          <val>
            <numRef>
              <f>'Report'!$F$11</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Tổng Pass / Fail</a:t>
            </a:r>
          </a:p>
        </rich>
      </tx>
    </title>
    <plotArea>
      <pieChart>
        <varyColors val="1"/>
        <ser>
          <idx val="0"/>
          <order val="0"/>
          <spPr>
            <a:ln>
              <a:prstDash val="solid"/>
            </a:ln>
          </spPr>
          <cat>
            <numRef>
              <f>'Report'!$B$3:$B$4</f>
            </numRef>
          </cat>
          <val>
            <numRef>
              <f>'Report'!$D$3:$D$4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13</row>
      <rowOff>0</rowOff>
    </from>
    <ext cx="432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U50"/>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s>
  <sheetData>
    <row r="1">
      <c r="A1" s="1" t="inlineStr">
        <is>
          <t>Project Name</t>
        </is>
      </c>
      <c r="B1" s="2" t="inlineStr">
        <is>
          <t>DrugTime</t>
        </is>
      </c>
    </row>
    <row r="2">
      <c r="A2" s="1" t="inlineStr">
        <is>
          <t>Module Name</t>
        </is>
      </c>
      <c r="B2" s="2" t="inlineStr">
        <is>
          <t>Quản lý người giám sát (CAREGIVER)</t>
        </is>
      </c>
    </row>
    <row r="3">
      <c r="A3" s="1" t="inlineStr">
        <is>
          <t>Created By</t>
        </is>
      </c>
      <c r="B3" s="2" t="inlineStr">
        <is>
          <t>DrugTime Team</t>
        </is>
      </c>
    </row>
    <row r="4">
      <c r="A4" s="1" t="inlineStr">
        <is>
          <t>Creation Date</t>
        </is>
      </c>
      <c r="B4" s="3" t="n">
        <v>46319</v>
      </c>
    </row>
    <row r="5">
      <c r="A5" s="1" t="inlineStr">
        <is>
          <t>Reviewed By</t>
        </is>
      </c>
      <c r="B5" s="2" t="inlineStr"/>
    </row>
    <row r="6">
      <c r="A6" s="1" t="inlineStr">
        <is>
          <t>Reviewed Date</t>
        </is>
      </c>
      <c r="B6" s="2" t="n"/>
    </row>
    <row r="7">
      <c r="K7" s="4" t="inlineStr">
        <is>
          <t>Equivalence Partitioning</t>
        </is>
      </c>
      <c r="Q7" s="4" t="inlineStr">
        <is>
          <t>Quyền xem dữ liệu và thao tác gỡ liên kết của Patient</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row>
    <row r="9" ht="123.5" customHeight="1">
      <c r="A9" s="7" t="inlineStr">
        <is>
          <t>TC-CAREGIVER-01</t>
        </is>
      </c>
      <c r="B9" s="7" t="inlineStr">
        <is>
          <t>Xem danh sách người giám sát của chính mình</t>
        </is>
      </c>
      <c r="C9" s="8" t="inlineStr">
        <is>
          <t>P có 2 liên kết chấp thuận qua API (F1 bật chia sẻ, F2 chấp thuận sau), 1 liên kết cũ không bằng chứng (F3), và các liên kết pending/rejected/revoked; có liên kết của patient khác</t>
        </is>
      </c>
      <c r="D9" s="8" t="inlineStr">
        <is>
          <t>1. Đăng nhập bằng P
2. GET /family/caregivers</t>
        </is>
      </c>
      <c r="E9" s="8" t="inlineStr">
        <is>
          <t>-</t>
        </is>
      </c>
      <c r="F9" s="8" t="inlineStr">
        <is>
          <t>200; items theo thứ tự F2, F1, F3; mỗi mục đúng 6 field, status=active; F1 sharing_enabled=true; F3 approved_at=null; không có liên kết khác; audit list_caregivers/allowed không có link_id</t>
        </is>
      </c>
      <c r="G9" s="8" t="inlineStr">
        <is>
          <t>Đúng như mong đợi</t>
        </is>
      </c>
      <c r="H9" s="7" t="inlineStr">
        <is>
          <t>Pass</t>
        </is>
      </c>
      <c r="I9" s="8" t="inlineStr">
        <is>
          <t>AC11 · test_list_only_own_active_ordered_minimal__AC11 · evidence/test-integration.log</t>
        </is>
      </c>
      <c r="K9" s="9" t="inlineStr">
        <is>
          <t>sharing_enabled (body PATCH)</t>
        </is>
      </c>
      <c r="L9" s="10" t="inlineStr">
        <is>
          <t>true
false</t>
        </is>
      </c>
      <c r="M9" s="10" t="inlineStr">
        <is>
          <t>1
2</t>
        </is>
      </c>
      <c r="N9" s="10" t="inlineStr">
        <is>
          <t>"true" (chuỗi)
1
null
thiếu field
field lạ (patient_id)</t>
        </is>
      </c>
      <c r="O9" s="10" t="inlineStr">
        <is>
          <t>8
9
10
11
12</t>
        </is>
      </c>
      <c r="Q9" s="10" t="inlineStr">
        <is>
          <t>Người gọi là Patient sở hữu liên kết?</t>
        </is>
      </c>
      <c r="R9" s="11" t="inlineStr">
        <is>
          <t>Yes</t>
        </is>
      </c>
      <c r="S9" s="11" t="inlineStr">
        <is>
          <t>Yes</t>
        </is>
      </c>
      <c r="T9" s="11" t="inlineStr">
        <is>
          <t>Yes</t>
        </is>
      </c>
      <c r="U9" s="11" t="inlineStr">
        <is>
          <t>No</t>
        </is>
      </c>
    </row>
    <row r="10" ht="140" customHeight="1">
      <c r="A10" s="7" t="inlineStr">
        <is>
          <t>TC-CAREGIVER-02</t>
        </is>
      </c>
      <c r="B10" s="7" t="inlineStr">
        <is>
          <t>Xem danh sách khi chưa có người giám sát</t>
        </is>
      </c>
      <c r="C10" s="8" t="inlineStr">
        <is>
          <t>Tài khoản không có liên kết active</t>
        </is>
      </c>
      <c r="D10" s="8" t="inlineStr">
        <is>
          <t>1. GET /family/caregivers</t>
        </is>
      </c>
      <c r="E10" s="8" t="inlineStr">
        <is>
          <t>-</t>
        </is>
      </c>
      <c r="F10" s="8" t="inlineStr">
        <is>
          <t>200; {"items": []}</t>
        </is>
      </c>
      <c r="G10" s="8" t="inlineStr">
        <is>
          <t>200; {"items": []}</t>
        </is>
      </c>
      <c r="H10" s="7" t="inlineStr">
        <is>
          <t>Pass</t>
        </is>
      </c>
      <c r="I10" s="8" t="inlineStr">
        <is>
          <t>AC11 · test_empty_list_returns_items_empty__AC11 · evidence/test-integration.log</t>
        </is>
      </c>
      <c r="K10" s="9" t="inlineStr">
        <is>
          <t>link_id (path)</t>
        </is>
      </c>
      <c r="L10" s="10" t="inlineStr">
        <is>
          <t>id liên kết active của chính mình</t>
        </is>
      </c>
      <c r="M10" s="10" t="inlineStr">
        <is>
          <t>3</t>
        </is>
      </c>
      <c r="N10" s="10" t="inlineStr">
        <is>
          <t>0
-1
abc
9223372036854775808
id không tồn tại
liên kết của patient khác
liên kết không active (pending/rejected/revoked)</t>
        </is>
      </c>
      <c r="O10" s="10" t="inlineStr">
        <is>
          <t>13
14
15
16
17
18
19</t>
        </is>
      </c>
      <c r="Q10" s="10" t="inlineStr">
        <is>
          <t>Trạng thái liên kết trước khi gỡ?</t>
        </is>
      </c>
      <c r="R10" s="11" t="inlineStr">
        <is>
          <t>active</t>
        </is>
      </c>
      <c r="S10" s="11" t="inlineStr">
        <is>
          <t>active</t>
        </is>
      </c>
      <c r="T10" s="11" t="inlineStr">
        <is>
          <t>revoked</t>
        </is>
      </c>
      <c r="U10" s="11" t="inlineStr">
        <is>
          <t>active</t>
        </is>
      </c>
    </row>
    <row r="11" ht="90.5" customHeight="1">
      <c r="A11" s="7" t="inlineStr">
        <is>
          <t>TC-CAREGIVER-03</t>
        </is>
      </c>
      <c r="B11" s="7" t="inlineStr">
        <is>
          <t>Gửi query patient_id để xem người giám sát của người khác</t>
        </is>
      </c>
      <c r="C11" s="8" t="inlineStr">
        <is>
          <t>Đã đăng nhập</t>
        </is>
      </c>
      <c r="D11" s="8" t="inlineStr">
        <is>
          <t>1. GET /family/caregivers?patient_id=&lt;UUID khác&gt;</t>
        </is>
      </c>
      <c r="E11" s="8" t="inlineStr">
        <is>
          <t>patient_id=&lt;UUID&gt;</t>
        </is>
      </c>
      <c r="F11" s="8" t="inlineStr">
        <is>
          <t>422</t>
        </is>
      </c>
      <c r="G11" s="8" t="inlineStr">
        <is>
          <t>422</t>
        </is>
      </c>
      <c r="H11" s="7" t="inlineStr">
        <is>
          <t>Pass</t>
        </is>
      </c>
      <c r="I11" s="8" t="inlineStr">
        <is>
          <t>AC5 · Đoán lỗi (truy cập dữ liệu người khác) · test_caregivers_rejects_query_parameters__AC11 · evidence/test-integration.log</t>
        </is>
      </c>
      <c r="K11" s="9" t="inlineStr">
        <is>
          <t>action_dialog (thao tác hộp thoại gỡ liên kết)</t>
        </is>
      </c>
      <c r="L11" s="10" t="inlineStr">
        <is>
          <t>Bấm "Gỡ liên kết" (xác nhận gọi API)
Bấm "Hủy" (đóng hộp thoại)</t>
        </is>
      </c>
      <c r="M11" s="10" t="inlineStr">
        <is>
          <t>4
5</t>
        </is>
      </c>
      <c r="N11" s="10" t="inlineStr">
        <is>
          <t>Bấm ngoài dialog khi đang loading
Gửi request trùng khi đang busy</t>
        </is>
      </c>
      <c r="O11" s="10" t="inlineStr">
        <is>
          <t>20
21</t>
        </is>
      </c>
      <c r="Q11" s="10" t="inlineStr">
        <is>
          <t>Xác nhận trên hộp thoại gỡ liên kết?</t>
        </is>
      </c>
      <c r="R11" s="11" t="inlineStr">
        <is>
          <t>Yes (Gỡ)</t>
        </is>
      </c>
      <c r="S11" s="11" t="inlineStr">
        <is>
          <t>No (Hủy)</t>
        </is>
      </c>
      <c r="T11" s="11" t="inlineStr">
        <is>
          <t>Yes (Gỡ)</t>
        </is>
      </c>
      <c r="U11" s="11" t="inlineStr">
        <is>
          <t>-</t>
        </is>
      </c>
    </row>
    <row r="12" ht="74" customHeight="1">
      <c r="A12" s="7" t="inlineStr">
        <is>
          <t>TC-CAREGIVER-04</t>
        </is>
      </c>
      <c r="B12" s="7" t="inlineStr">
        <is>
          <t>Bật, bật lại và tắt chia sẻ</t>
        </is>
      </c>
      <c r="C12" s="8" t="inlineStr">
        <is>
          <t>Liên kết active chấp thuận qua API, chia sẻ đang tắt; P có family_sharing</t>
        </is>
      </c>
      <c r="D12" s="8" t="inlineStr">
        <is>
          <t>1. PATCH /family/links/{id}/sharing true
2. PATCH lại true
3. PATCH false</t>
        </is>
      </c>
      <c r="E12" s="8" t="inlineStr">
        <is>
          <t>{"sharing_enabled": true} / {"sharing_enabled": false}</t>
        </is>
      </c>
      <c r="F12" s="8" t="inlineStr">
        <is>
          <t>200 trả Caregiver với sharing_enabled đúng giá trị; gửi lại true trả kết quả giống hệt; DB đổi theo; audit enable_sharing x2, disable_sharing</t>
        </is>
      </c>
      <c r="G12" s="8" t="inlineStr">
        <is>
          <t>Đúng như mong đợi</t>
        </is>
      </c>
      <c r="H12" s="7" t="inlineStr">
        <is>
          <t>Pass</t>
        </is>
      </c>
      <c r="I12" s="8" t="inlineStr">
        <is>
          <t>AC12 · EP (1,2,3) · Đoán lỗi (gửi trùng) · test_enable_disable_idempotent_and_audit__AC12 · evidence/test-integration.log</t>
        </is>
      </c>
      <c r="K12" s="9" t="inlineStr">
        <is>
          <t>revocation_event (nguồn phát hiện thu hồi quyền ở Family Member)</t>
        </is>
      </c>
      <c r="L12" s="10" t="inlineStr">
        <is>
          <t>HTTP 403 Forbidden khi truy cập dữ liệu
Đồng bộ danh sách liên kết mới thiếu Patient</t>
        </is>
      </c>
      <c r="M12" s="10" t="inlineStr">
        <is>
          <t>6
7</t>
        </is>
      </c>
      <c r="N12" s="10" t="inlineStr">
        <is>
          <t>Lỗi mạng tạm thời hoặc 5xx
Token hết hạn 401</t>
        </is>
      </c>
      <c r="O12" s="10" t="inlineStr">
        <is>
          <t>22
23</t>
        </is>
      </c>
      <c r="Q12" s="6" t="inlineStr">
        <is>
          <t>Action</t>
        </is>
      </c>
      <c r="R12" s="5" t="inlineStr">
        <is>
          <t>R1</t>
        </is>
      </c>
      <c r="S12" s="5" t="inlineStr">
        <is>
          <t>R2</t>
        </is>
      </c>
      <c r="T12" s="5" t="inlineStr">
        <is>
          <t>R3</t>
        </is>
      </c>
      <c r="U12" s="5" t="inlineStr">
        <is>
          <t>R4</t>
        </is>
      </c>
    </row>
    <row r="13" ht="57.5" customHeight="1">
      <c r="A13" s="7" t="inlineStr">
        <is>
          <t>TC-CAREGIVER-05</t>
        </is>
      </c>
      <c r="B13" s="7" t="inlineStr">
        <is>
          <t>Tắt chia sẻ khi đã rút family_sharing</t>
        </is>
      </c>
      <c r="C13" s="8" t="inlineStr">
        <is>
          <t>Liên kết active đang chia sẻ; P đã rút family_sharing</t>
        </is>
      </c>
      <c r="D13" s="8" t="inlineStr">
        <is>
          <t>1. PATCH sharing false</t>
        </is>
      </c>
      <c r="E13" s="8" t="inlineStr">
        <is>
          <t>{"sharing_enabled": false}</t>
        </is>
      </c>
      <c r="F13" s="8" t="inlineStr">
        <is>
          <t>200; sharing_enabled=false</t>
        </is>
      </c>
      <c r="G13" s="8" t="inlineStr">
        <is>
          <t>Đúng như mong đợi</t>
        </is>
      </c>
      <c r="H13" s="7" t="inlineStr">
        <is>
          <t>Pass</t>
        </is>
      </c>
      <c r="I13" s="8" t="inlineStr">
        <is>
          <t>AC12 · test_disable_allowed_without_consent__AC12 · evidence/test-integration.log</t>
        </is>
      </c>
      <c r="Q13" s="10" t="inlineStr">
        <is>
          <t>DELETE /family/links/{id} -&gt; 204 No Content, gỡ khỏi UI, SnackBar</t>
        </is>
      </c>
      <c r="R13" s="11" t="inlineStr">
        <is>
          <t>X</t>
        </is>
      </c>
      <c r="S13" s="11" t="inlineStr"/>
      <c r="T13" s="11" t="inlineStr">
        <is>
          <t>X</t>
        </is>
      </c>
      <c r="U13" s="11" t="inlineStr"/>
    </row>
    <row r="14" ht="74" customHeight="1">
      <c r="A14" s="7" t="inlineStr">
        <is>
          <t>TC-CAREGIVER-06</t>
        </is>
      </c>
      <c r="B14" s="7" t="inlineStr">
        <is>
          <t>Bật chia sẻ khi chưa đồng ý family_sharing</t>
        </is>
      </c>
      <c r="C14" s="8" t="inlineStr">
        <is>
          <t>Liên kết active, chia sẻ tắt; P đã rút family_sharing</t>
        </is>
      </c>
      <c r="D14" s="8" t="inlineStr">
        <is>
          <t>1. PATCH sharing true</t>
        </is>
      </c>
      <c r="E14" s="8" t="inlineStr">
        <is>
          <t>{"sharing_enabled": true}</t>
        </is>
      </c>
      <c r="F14" s="8" t="inlineStr">
        <is>
          <t>403 {"detail": "consent_revoked"}; công tắc vẫn tắt; audit enable_sharing/denied reason consent_revoked</t>
        </is>
      </c>
      <c r="G14" s="8" t="inlineStr">
        <is>
          <t>Đúng như mong đợi</t>
        </is>
      </c>
      <c r="H14" s="7" t="inlineStr">
        <is>
          <t>Pass</t>
        </is>
      </c>
      <c r="I14" s="8" t="inlineStr">
        <is>
          <t>AC7, AC10 · test_enable_without_consent_403_denied_audit__AC7_AC10 · evidence/test-integration.log</t>
        </is>
      </c>
      <c r="Q14" s="10" t="inlineStr">
        <is>
          <t>Đóng dialog, giữ nguyên liên kết, không gọi API</t>
        </is>
      </c>
      <c r="R14" s="11" t="inlineStr"/>
      <c r="S14" s="11" t="inlineStr">
        <is>
          <t>X</t>
        </is>
      </c>
      <c r="T14" s="11" t="inlineStr"/>
      <c r="U14" s="11" t="inlineStr"/>
    </row>
    <row r="15" ht="74" customHeight="1">
      <c r="A15" s="7" t="inlineStr">
        <is>
          <t>TC-CAREGIVER-07</t>
        </is>
      </c>
      <c r="B15" s="7" t="inlineStr">
        <is>
          <t>Bật chia sẻ cho liên kết cũ không có bằng chứng xác nhận</t>
        </is>
      </c>
      <c r="C15" s="8" t="inlineStr">
        <is>
          <t>Liên kết active tạo trước 3.16 (không có bằng chứng), chia sẻ bật</t>
        </is>
      </c>
      <c r="D15" s="8" t="inlineStr">
        <is>
          <t>1. PATCH sharing true
2. PATCH sharing false</t>
        </is>
      </c>
      <c r="E15" s="8" t="inlineStr">
        <is>
          <t>-</t>
        </is>
      </c>
      <c r="F15" s="8" t="inlineStr">
        <is>
          <t>true: 409 {"detail": "consent_confirmation_missing"}; false: 200, approved_at=null</t>
        </is>
      </c>
      <c r="G15" s="8" t="inlineStr">
        <is>
          <t>Đúng như mong đợi</t>
        </is>
      </c>
      <c r="H15" s="7" t="inlineStr">
        <is>
          <t>Pass</t>
        </is>
      </c>
      <c r="I15" s="8" t="inlineStr">
        <is>
          <t>AC10 · test_enable_legacy_link_409_confirmation_missing_but_disable_ok__AC10 · evidence/test-integration.log</t>
        </is>
      </c>
      <c r="Q15" s="10" t="inlineStr">
        <is>
          <t>HTTP 403 Forbidden khong_co_quyen</t>
        </is>
      </c>
      <c r="R15" s="11" t="inlineStr"/>
      <c r="S15" s="11" t="inlineStr"/>
      <c r="T15" s="11" t="inlineStr"/>
      <c r="U15" s="11" t="inlineStr">
        <is>
          <t>X</t>
        </is>
      </c>
    </row>
    <row r="16" ht="90.5" customHeight="1">
      <c r="A16" s="7" t="inlineStr">
        <is>
          <t>TC-CAREGIVER-08</t>
        </is>
      </c>
      <c r="B16" s="7" t="inlineStr">
        <is>
          <t>Bật/tắt chia sẻ cho liên kết không active</t>
        </is>
      </c>
      <c r="C16" s="8" t="inlineStr">
        <is>
          <t>Liên kết pending, rejected hoặc revoked</t>
        </is>
      </c>
      <c r="D16" s="8" t="inlineStr">
        <is>
          <t>1. PATCH sharing true và false cho từng trạng thái</t>
        </is>
      </c>
      <c r="E16" s="8" t="inlineStr">
        <is>
          <t>6 tổ hợp trạng thái × giá trị</t>
        </is>
      </c>
      <c r="F16" s="8" t="inlineStr">
        <is>
          <t>409 {"detail": "family_link_not_active"}; dòng liên kết không đổi</t>
        </is>
      </c>
      <c r="G16" s="8" t="inlineStr">
        <is>
          <t>Đúng như mong đợi (6/6)</t>
        </is>
      </c>
      <c r="H16" s="7" t="inlineStr">
        <is>
          <t>Pass</t>
        </is>
      </c>
      <c r="I16" s="8" t="inlineStr">
        <is>
          <t>AC10 · EP (15) · Chuyển trạng thái (thao tác bị cấm) · test_sharing_on_non_active_link_409__AC10 · evidence/test-integration.log</t>
        </is>
      </c>
    </row>
    <row r="17" ht="74" customHeight="1">
      <c r="A17" s="7" t="inlineStr">
        <is>
          <t>TC-CAREGIVER-09</t>
        </is>
      </c>
      <c r="B17" s="7" t="inlineStr">
        <is>
          <t>Gửi body bật/tắt chia sẻ sai cấu trúc</t>
        </is>
      </c>
      <c r="C17" s="8" t="inlineStr">
        <is>
          <t>Đã đăng nhập</t>
        </is>
      </c>
      <c r="D17" s="8" t="inlineStr">
        <is>
          <t>1. PATCH /family/links/1/sharing với từng body sai</t>
        </is>
      </c>
      <c r="E17" s="8" t="inlineStr">
        <is>
          <t>(không body); {}; "true" (chuỗi); 1; null; {"sharing_enabled": true, "patient_id": "…"}</t>
        </is>
      </c>
      <c r="F17" s="8" t="inlineStr">
        <is>
          <t>422 ValidationError; không gọi use case</t>
        </is>
      </c>
      <c r="G17" s="8" t="inlineStr">
        <is>
          <t>422 cho mọi trường hợp</t>
        </is>
      </c>
      <c r="H17" s="7" t="inlineStr">
        <is>
          <t>Pass</t>
        </is>
      </c>
      <c r="I17" s="8" t="inlineStr">
        <is>
          <t>AC22 · EP (4,5,6,7,8) · test_strict_sharing_body_rejected_before_use_case · evidence/implement-final-backend.log</t>
        </is>
      </c>
    </row>
    <row r="18" ht="74" customHeight="1">
      <c r="A18" s="7" t="inlineStr">
        <is>
          <t>TC-CAREGIVER-10</t>
        </is>
      </c>
      <c r="B18" s="7" t="inlineStr">
        <is>
          <t>Gọi bật/tắt chia sẻ và hủy với link_id không hợp lệ</t>
        </is>
      </c>
      <c r="C18" s="8" t="inlineStr">
        <is>
          <t>Đã đăng nhập</t>
        </is>
      </c>
      <c r="D18" s="8" t="inlineStr">
        <is>
          <t>1. PATCH /family/links/{link_id}/sharing
2. POST /family/links/{link_id}/revoke</t>
        </is>
      </c>
      <c r="E18" s="8" t="inlineStr">
        <is>
          <t>link_id = 0, -1, abc, 1.1, 9223372036854775808</t>
        </is>
      </c>
      <c r="F18" s="8" t="inlineStr">
        <is>
          <t>422 cho mọi giá trị</t>
        </is>
      </c>
      <c r="G18" s="8" t="inlineStr">
        <is>
          <t>422</t>
        </is>
      </c>
      <c r="H18" s="7" t="inlineStr">
        <is>
          <t>Pass</t>
        </is>
      </c>
      <c r="I18" s="8" t="inlineStr">
        <is>
          <t>AC22 · EP (9,10,11,12) · BVA (min-1) · test_new_routes_invalid_path_id_is_422 · evidence/implement-final-backend.log</t>
        </is>
      </c>
      <c r="Q18" s="4" t="inlineStr">
        <is>
          <t>Xử lý cache &amp; state khi Family Member bị thu hồi quyền truy cập</t>
        </is>
      </c>
    </row>
    <row r="19" ht="74" customHeight="1">
      <c r="A19" s="7" t="inlineStr">
        <is>
          <t>TC-CAREGIVER-11</t>
        </is>
      </c>
      <c r="B19" s="7" t="inlineStr">
        <is>
          <t>Thao tác trên liên kết không tồn tại</t>
        </is>
      </c>
      <c r="C19" s="8" t="inlineStr">
        <is>
          <t>P đã đăng nhập</t>
        </is>
      </c>
      <c r="D19" s="8" t="inlineStr">
        <is>
          <t>1. PATCH sharing true cho id 2000000000
2. POST revoke cho id 2000000000</t>
        </is>
      </c>
      <c r="E19" s="8" t="inlineStr">
        <is>
          <t>link_id=2000000000</t>
        </is>
      </c>
      <c r="F19" s="8" t="inlineStr">
        <is>
          <t>404 {"detail": "family_link_not_found"}; không ghi audit</t>
        </is>
      </c>
      <c r="G19" s="8" t="inlineStr">
        <is>
          <t>Đúng như mong đợi</t>
        </is>
      </c>
      <c r="H19" s="7" t="inlineStr">
        <is>
          <t>Pass</t>
        </is>
      </c>
      <c r="I19" s="8" t="inlineStr">
        <is>
          <t>AC10 · EP (13) · test_missing_link_404_without_allowed_audit__AC10 · evidence/test-integration.log</t>
        </is>
      </c>
      <c r="Q19" s="6" t="inlineStr">
        <is>
          <t>Rule</t>
        </is>
      </c>
      <c r="R19" s="5" t="inlineStr">
        <is>
          <t>R1</t>
        </is>
      </c>
      <c r="S19" s="5" t="inlineStr">
        <is>
          <t>R2</t>
        </is>
      </c>
      <c r="T19" s="5" t="inlineStr">
        <is>
          <t>R3</t>
        </is>
      </c>
    </row>
    <row r="20" ht="107" customHeight="1">
      <c r="A20" s="7" t="inlineStr">
        <is>
          <t>TC-CAREGIVER-12</t>
        </is>
      </c>
      <c r="B20" s="7" t="inlineStr">
        <is>
          <t>Người thân, người lạ, admin bật/tắt chia sẻ hoặc hủy liên kết thay patient</t>
        </is>
      </c>
      <c r="C20" s="8" t="inlineStr">
        <is>
          <t>Liên kết active P←F đang chia sẻ; người lạ X; admin A</t>
        </is>
      </c>
      <c r="D20" s="8" t="inlineStr">
        <is>
          <t>1. Gọi 3 endpoint không token
2. Với F, X, A: PATCH false, PATCH true, POST revoke
3. A gọi GET /family/caregivers
4. F, X gọi GET /family/caregivers
5. P gọi POST revoke</t>
        </is>
      </c>
      <c r="E20" s="8" t="inlineStr">
        <is>
          <t>-</t>
        </is>
      </c>
      <c r="F20" s="8" t="inlineStr">
        <is>
          <t>401 khi không token; 403 khong_co_quyen, liên kết không đổi, mỗi lượt 1 audit denied với actor là người gọi (admin không ghi patient/link); admin xem danh sách 403; F và X thấy items rỗng; P hủy được (200)</t>
        </is>
      </c>
      <c r="G20" s="8" t="inlineStr">
        <is>
          <t>Đúng như mong đợi</t>
        </is>
      </c>
      <c r="H20" s="7" t="inlineStr">
        <is>
          <t>Pass</t>
        </is>
      </c>
      <c r="I20" s="8" t="inlineStr">
        <is>
          <t>AC5 · EP (14) · test_new_endpoints_denied_caller_matrix__AC5 · evidence/test-integration.log</t>
        </is>
      </c>
      <c r="Q20" s="10" t="inlineStr">
        <is>
          <t>Nhận HTTP 403 Forbidden do bị thu hồi liên kết?</t>
        </is>
      </c>
      <c r="R20" s="11" t="inlineStr">
        <is>
          <t>Yes</t>
        </is>
      </c>
      <c r="S20" s="11" t="inlineStr">
        <is>
          <t>No</t>
        </is>
      </c>
      <c r="T20" s="11" t="inlineStr">
        <is>
          <t>Yes</t>
        </is>
      </c>
    </row>
    <row r="21" ht="90.5" customHeight="1">
      <c r="A21" s="7" t="inlineStr">
        <is>
          <t>TC-CAREGIVER-13</t>
        </is>
      </c>
      <c r="B21" s="7" t="inlineStr">
        <is>
          <t>Hủy liên kết và gửi lại lệnh hủy</t>
        </is>
      </c>
      <c r="C21" s="8" t="inlineStr">
        <is>
          <t>Liên kết active đang chia sẻ</t>
        </is>
      </c>
      <c r="D21" s="8" t="inlineStr">
        <is>
          <t>1. POST /family/links/{id}/revoke
2. POST revoke lần 2
3. GET /family/caregivers</t>
        </is>
      </c>
      <c r="E21" s="8" t="inlineStr">
        <is>
          <t>(không body)</t>
        </is>
      </c>
      <c r="F21" s="8" t="inlineStr">
        <is>
          <t>200 {link_id, family_user_id, status: revoked, revoked_at}; lần 2 trả y hệt; bằng chứng đồng ý vẫn còn 1 dòng; audit revoke x2; danh sách rỗng</t>
        </is>
      </c>
      <c r="G21" s="8" t="inlineStr">
        <is>
          <t>Đúng như mong đợi</t>
        </is>
      </c>
      <c r="H21" s="7" t="inlineStr">
        <is>
          <t>Pass</t>
        </is>
      </c>
      <c r="I21" s="8" t="inlineStr">
        <is>
          <t>AC13 · Chuyển trạng thái (active→revoked) · test_revoke_keeps_history_and_replay_returns_same_time__AC13 · evidence/test-integration.log</t>
        </is>
      </c>
      <c r="Q21" s="10" t="inlineStr">
        <is>
          <t>Dữ liệu/cache thuộc phạm vi Patient bị thu hồi?</t>
        </is>
      </c>
      <c r="R21" s="11" t="inlineStr">
        <is>
          <t>Yes</t>
        </is>
      </c>
      <c r="S21" s="11" t="inlineStr">
        <is>
          <t>Yes</t>
        </is>
      </c>
      <c r="T21" s="11" t="inlineStr">
        <is>
          <t>No (Patient khác)</t>
        </is>
      </c>
    </row>
    <row r="22" ht="74" customHeight="1">
      <c r="A22" s="7" t="inlineStr">
        <is>
          <t>TC-CAREGIVER-14</t>
        </is>
      </c>
      <c r="B22" s="7" t="inlineStr">
        <is>
          <t>Liên kết lại sau khi hủy</t>
        </is>
      </c>
      <c r="C22" s="8" t="inlineStr">
        <is>
          <t>Liên kết đã chấp thuận, bật chia sẻ, rồi bị hủy</t>
        </is>
      </c>
      <c r="D22" s="8" t="inlineStr">
        <is>
          <t>1. F gửi lại yêu cầu bằng mã của P
2. P chấp thuận</t>
        </is>
      </c>
      <c r="E22" s="8" t="inlineStr">
        <is>
          <t>client_uuid mới</t>
        </is>
      </c>
      <c r="F22" s="8" t="inlineStr">
        <is>
          <t>201 tạo liên kết mới pending (id khác); sau chấp thuận sharing_enabled=false; bằng chứng mới riêng, bằng chứng cũ còn; liên kết cũ vẫn revoked</t>
        </is>
      </c>
      <c r="G22" s="8" t="inlineStr">
        <is>
          <t>Đúng như mong đợi</t>
        </is>
      </c>
      <c r="H22" s="7" t="inlineStr">
        <is>
          <t>Pass</t>
        </is>
      </c>
      <c r="I22" s="8" t="inlineStr">
        <is>
          <t>AC13 · test_relink_after_revoke_starts_unshared_with_new_evidence__AC13 · evidence/test-integration.log</t>
        </is>
      </c>
      <c r="Q22" s="6" t="inlineStr">
        <is>
          <t>Action</t>
        </is>
      </c>
      <c r="R22" s="5" t="inlineStr">
        <is>
          <t>R1</t>
        </is>
      </c>
      <c r="S22" s="5" t="inlineStr">
        <is>
          <t>R2</t>
        </is>
      </c>
      <c r="T22" s="5" t="inlineStr">
        <is>
          <t>R3</t>
        </is>
      </c>
    </row>
    <row r="23" ht="74" customHeight="1">
      <c r="A23" s="7" t="inlineStr">
        <is>
          <t>TC-CAREGIVER-15</t>
        </is>
      </c>
      <c r="B23" s="7" t="inlineStr">
        <is>
          <t>Hủy liên kết đang chờ hoặc đã bị từ chối</t>
        </is>
      </c>
      <c r="C23" s="8" t="inlineStr">
        <is>
          <t>Liên kết pending hoặc rejected</t>
        </is>
      </c>
      <c r="D23" s="8" t="inlineStr">
        <is>
          <t>1. POST revoke</t>
        </is>
      </c>
      <c r="E23" s="8" t="inlineStr">
        <is>
          <t>-</t>
        </is>
      </c>
      <c r="F23" s="8" t="inlineStr">
        <is>
          <t>409 {"detail": "invalid_link_transition"}; liên kết không đổi</t>
        </is>
      </c>
      <c r="G23" s="8" t="inlineStr">
        <is>
          <t>Đúng như mong đợi</t>
        </is>
      </c>
      <c r="H23" s="7" t="inlineStr">
        <is>
          <t>Pass</t>
        </is>
      </c>
      <c r="I23" s="8" t="inlineStr">
        <is>
          <t>AC10 · Chuyển trạng thái (chuyển bị cấm) · test_revoke_pending_or_rejected_409__AC10 · evidence/test-integration.log</t>
        </is>
      </c>
      <c r="Q23" s="10" t="inlineStr">
        <is>
          <t>Xóa Patient khỏi state &amp; xóa SQLite cache &amp; xóa RAM history &amp; dọn alert</t>
        </is>
      </c>
      <c r="R23" s="11" t="inlineStr">
        <is>
          <t>X</t>
        </is>
      </c>
      <c r="S23" s="11" t="inlineStr"/>
      <c r="T23" s="11" t="inlineStr"/>
    </row>
    <row r="24" ht="57.5" customHeight="1">
      <c r="A24" s="7" t="inlineStr">
        <is>
          <t>TC-CAREGIVER-16</t>
        </is>
      </c>
      <c r="B24" s="7" t="inlineStr">
        <is>
          <t>Gửi body khi hủy liên kết</t>
        </is>
      </c>
      <c r="C24" s="8" t="inlineStr">
        <is>
          <t>Liên kết active</t>
        </is>
      </c>
      <c r="D24" s="8" t="inlineStr">
        <is>
          <t>1. POST revoke với body {}</t>
        </is>
      </c>
      <c r="E24" s="8" t="inlineStr">
        <is>
          <t>{}</t>
        </is>
      </c>
      <c r="F24" s="8" t="inlineStr">
        <is>
          <t>422; liên kết vẫn active</t>
        </is>
      </c>
      <c r="G24" s="8" t="inlineStr">
        <is>
          <t>422</t>
        </is>
      </c>
      <c r="H24" s="7" t="inlineStr">
        <is>
          <t>Pass</t>
        </is>
      </c>
      <c r="I24" s="8" t="inlineStr">
        <is>
          <t>AC10 · Đoán lỗi · test_revoke_with_body_is_422__AC10 · evidence/test-integration.log</t>
        </is>
      </c>
      <c r="Q24" s="10" t="inlineStr">
        <is>
          <t>Giữ nguyên dữ liệu &amp; cache, không xóa nhầm</t>
        </is>
      </c>
      <c r="R24" s="11" t="inlineStr"/>
      <c r="S24" s="11" t="inlineStr">
        <is>
          <t>X</t>
        </is>
      </c>
      <c r="T24" s="11" t="inlineStr">
        <is>
          <t>X</t>
        </is>
      </c>
    </row>
    <row r="25" ht="123.5" customHeight="1">
      <c r="A25" s="7" t="inlineStr">
        <is>
          <t>TC-CAREGIVER-17</t>
        </is>
      </c>
      <c r="B25" s="7" t="inlineStr">
        <is>
          <t>Mỗi quyết định của patient có hiệu lực ngay ở request kế tiếp của người thân</t>
        </is>
      </c>
      <c r="C25" s="8" t="inlineStr">
        <is>
          <t>P có health_data và family_sharing, có một thuốc; F dùng một token duy nhất</t>
        </is>
      </c>
      <c r="D25" s="8" t="inlineStr">
        <is>
          <t>1. F gửi yêu cầu (pending) → F đọc GET /medications/{id}
2. P chấp thuận → F đọc
3. P bật chia sẻ → F đọc
4. P tắt chia sẻ → F đọc
5. P bật lại → F đọc, P hủy liên kết → F đọc
6. F gửi lại, P từ chối → F đọc</t>
        </is>
      </c>
      <c r="E25" s="8" t="inlineStr">
        <is>
          <t>-</t>
        </is>
      </c>
      <c r="F25" s="8" t="inlineStr">
        <is>
          <t>403 + access_logs denied ở pending, chấp thuận (chia sẻ tắt), tắt chia sẻ, hủy, từ chối; 200 + allowed (actor_role family) khi đang chia sẻ; danh sách nhận cảnh báo (authorized_caregivers) có F đúng khi được 200</t>
        </is>
      </c>
      <c r="G25" s="8" t="inlineStr">
        <is>
          <t>Đúng như mong đợi</t>
        </is>
      </c>
      <c r="H25" s="7" t="inlineStr">
        <is>
          <t>Pass</t>
        </is>
      </c>
      <c r="I25" s="8" t="inlineStr">
        <is>
          <t>AC6 · Decision Table (R1, R2, R4) · test_every_decision_applies_on_next_request_same_token__AC6 · evidence/test-integration.log</t>
        </is>
      </c>
    </row>
    <row r="26" ht="74" customHeight="1">
      <c r="A26" s="7" t="inlineStr">
        <is>
          <t>TC-CAREGIVER-18</t>
        </is>
      </c>
      <c r="B26" s="7" t="inlineStr">
        <is>
          <t>Rút family_sharing khi công tắc vẫn bật</t>
        </is>
      </c>
      <c r="C26" s="8" t="inlineStr">
        <is>
          <t>Liên kết active đang chia sẻ, F đọc được</t>
        </is>
      </c>
      <c r="D26" s="8" t="inlineStr">
        <is>
          <t>1. P rút family_sharing
2. F đọc GET /medications/{id} ngay</t>
        </is>
      </c>
      <c r="E26" s="8" t="inlineStr">
        <is>
          <t>-</t>
        </is>
      </c>
      <c r="F26" s="8" t="inlineStr">
        <is>
          <t>403 + access_logs denied; F không còn trong danh sách nhận cảnh báo; công tắc không tự đổi</t>
        </is>
      </c>
      <c r="G26" s="8" t="inlineStr">
        <is>
          <t>Đúng như mong đợi</t>
        </is>
      </c>
      <c r="H26" s="7" t="inlineStr">
        <is>
          <t>Pass</t>
        </is>
      </c>
      <c r="I26" s="8" t="inlineStr">
        <is>
          <t>AC6 · Decision Table (R3) · test_consent_withdrawal_blocks_even_with_sharing_on__AC6 · evidence/test-integration.log</t>
        </is>
      </c>
    </row>
    <row r="27" ht="74" customHeight="1">
      <c r="A27" s="7" t="inlineStr">
        <is>
          <t>TC-CAREGIVER-19</t>
        </is>
      </c>
      <c r="B27" s="7" t="inlineStr">
        <is>
          <t>Hủy liên kết và bật chia sẻ cùng lúc</t>
        </is>
      </c>
      <c r="C27" s="8" t="inlineStr">
        <is>
          <t>Liên kết active, chia sẻ tắt; giữ khóa dòng để hai request cùng chờ</t>
        </is>
      </c>
      <c r="D27" s="8" t="inlineStr">
        <is>
          <t>1. Gửi đồng thời PATCH sharing true và POST revoke
2. Nhả khóa
3. F đọc dữ liệu</t>
        </is>
      </c>
      <c r="E27" s="8" t="inlineStr">
        <is>
          <t>-</t>
        </is>
      </c>
      <c r="F27" s="8" t="inlineStr">
        <is>
          <t>Revoke 200; PATCH 200 hoặc 409 family_link_not_active; trạng thái cuối revoked; F nhận 403 + denied</t>
        </is>
      </c>
      <c r="G27" s="8" t="inlineStr">
        <is>
          <t>Đúng như mong đợi (chạy 5 lần đều pass)</t>
        </is>
      </c>
      <c r="H27" s="7" t="inlineStr">
        <is>
          <t>Pass</t>
        </is>
      </c>
      <c r="I27" s="8" t="inlineStr">
        <is>
          <t>AC15 · Đoán lỗi (chạy đua) · test_concurrent_revoke_and_enable_sharing_ends_revoked__AC15 · evidence/test-integration.log</t>
        </is>
      </c>
    </row>
    <row r="28" ht="107" customHeight="1">
      <c r="A28" s="7" t="inlineStr">
        <is>
          <t>TC-CAREGIVER-20</t>
        </is>
      </c>
      <c r="B28" s="7" t="inlineStr">
        <is>
          <t>Kiểm migration audit cho thao tác mới</t>
        </is>
      </c>
      <c r="C28" s="8" t="inlineStr">
        <is>
          <t>DB reset sạch (supabase db reset)</t>
        </is>
      </c>
      <c r="D28" s="8" t="inlineStr">
        <is>
          <t>1. Chèn audit list_caregivers không link_id
2. Chèn enable_sharing/disable_sharing/revoke allowed và denied
3. Chèn operation lạ
4. Chèn allowed gắn link không có link_id
5. UPDATE/DELETE/TRUNCATE với mọi role</t>
        </is>
      </c>
      <c r="E28" s="8" t="inlineStr">
        <is>
          <t>operation = update_sharing, delete, LIST_CAREGIVERS, (blank)</t>
        </is>
      </c>
      <c r="F28" s="8" t="inlineStr">
        <is>
          <t>Operation mới được nhận; operation lạ và allowed gắn link thiếu link_id bị từ chối; mọi role không sửa/xóa được; ràng buộc đúng định nghĩa migration</t>
        </is>
      </c>
      <c r="G28" s="8" t="inlineStr">
        <is>
          <t>Đúng như mong đợi (32 test)</t>
        </is>
      </c>
      <c r="H28" s="7" t="inlineStr">
        <is>
          <t>Pass</t>
        </is>
      </c>
      <c r="I28" s="8" t="inlineStr">
        <is>
          <t>AC14 · test_migration_family_link_audit_operations.py · evidence/test-integration.log, evidence/test-db-reset.log</t>
        </is>
      </c>
    </row>
    <row r="29" ht="74" customHeight="1">
      <c r="A29" s="7" t="inlineStr">
        <is>
          <t>TC-CAREGIVER-21</t>
        </is>
      </c>
      <c r="B29" s="7" t="inlineStr">
        <is>
          <t>Mở màn Người giám sát từ Hồ sơ</t>
        </is>
      </c>
      <c r="C29" s="8" t="inlineStr">
        <is>
          <t>App mobile; có 2 người giám sát (1 không tên, 1 liên kết cũ)</t>
        </is>
      </c>
      <c r="D29" s="8" t="inlineStr">
        <is>
          <t>1. Hồ sơ &gt; Người giám sát</t>
        </is>
      </c>
      <c r="E29" s="8" t="inlineStr">
        <is>
          <t>approved_at = 2026-10-14T18:00:00Z</t>
        </is>
      </c>
      <c r="F29" s="8" t="inlineStr">
        <is>
          <t>Không còn "Sắp ra mắt"; hiện tên, "Chấp thuận ngày 15/10/2026", "Người dùng DrugTime", "Liên kết trước khi có bước xác nhận đồng ý", công tắc đúng giá trị</t>
        </is>
      </c>
      <c r="G29" s="8" t="inlineStr">
        <is>
          <t>Đúng như mong đợi</t>
        </is>
      </c>
      <c r="H29" s="7" t="inlineStr">
        <is>
          <t>Pass</t>
        </is>
      </c>
      <c r="I29" s="8" t="inlineStr">
        <is>
          <t>AC20 · caregivers_screen_test.dart (AC20), profile_screens_test.dart (AC20) · evidence/implement-final-frontend.log</t>
        </is>
      </c>
    </row>
    <row r="30" ht="74" customHeight="1">
      <c r="A30" s="7" t="inlineStr">
        <is>
          <t>TC-CAREGIVER-22</t>
        </is>
      </c>
      <c r="B30" s="7" t="inlineStr">
        <is>
          <t>Màn trống: bấm Mở tab Người thân</t>
        </is>
      </c>
      <c r="C30" s="8" t="inlineStr">
        <is>
          <t>Chưa có người giám sát</t>
        </is>
      </c>
      <c r="D30" s="8" t="inlineStr">
        <is>
          <t>1. Hồ sơ &gt; Người giám sát
2. Bấm "Mở tab Người thân"</t>
        </is>
      </c>
      <c r="E30" s="8" t="inlineStr">
        <is>
          <t>-</t>
        </is>
      </c>
      <c r="F30" s="8" t="inlineStr">
        <is>
          <t>Hiện "Chưa có người giám sát"; bấm nút thì đóng màn, shell chuyển sang tab Người thân và tải yêu cầu đang chờ</t>
        </is>
      </c>
      <c r="G30" s="8" t="inlineStr">
        <is>
          <t>Đúng như mong đợi</t>
        </is>
      </c>
      <c r="H30" s="7" t="inlineStr">
        <is>
          <t>Pass</t>
        </is>
      </c>
      <c r="I30" s="8" t="inlineStr">
        <is>
          <t>AC20 · app_shell_test.dart (AC20), caregivers_screen_test.dart · evidence/implement-final-frontend.log</t>
        </is>
      </c>
    </row>
    <row r="31" ht="74" customHeight="1">
      <c r="A31" s="7" t="inlineStr">
        <is>
          <t>TC-CAREGIVER-23</t>
        </is>
      </c>
      <c r="B31" s="7" t="inlineStr">
        <is>
          <t>Gạt công tắc chia sẻ trên app</t>
        </is>
      </c>
      <c r="C31" s="8" t="inlineStr">
        <is>
          <t>Có người giám sát</t>
        </is>
      </c>
      <c r="D31" s="8" t="inlineStr">
        <is>
          <t>1. Gạt công tắc
2. Trong lúc chờ gạt lại
3. Lần khác: server trả lỗi mạng</t>
        </is>
      </c>
      <c r="E31" s="8" t="inlineStr">
        <is>
          <t>-</t>
        </is>
      </c>
      <c r="F31" s="8" t="inlineStr">
        <is>
          <t>Công tắc và nút hủy khóa khi đang gửi, chỉ 1 request; hiện giá trị server trả và báo "Đã bật/tắt chia sẻ với …"; lỗi mạng thì giữ giá trị cũ và báo lỗi</t>
        </is>
      </c>
      <c r="G31" s="8" t="inlineStr">
        <is>
          <t>Đúng như mong đợi</t>
        </is>
      </c>
      <c r="H31" s="7" t="inlineStr">
        <is>
          <t>Pass</t>
        </is>
      </c>
      <c r="I31" s="8" t="inlineStr">
        <is>
          <t>AC21 · Đoán lỗi (bấm liên tục, mất mạng) · caregivers_screen_test.dart (AC21) · evidence/implement-final-frontend.log</t>
        </is>
      </c>
    </row>
    <row r="32" ht="123.5" customHeight="1">
      <c r="A32" s="7" t="inlineStr">
        <is>
          <t>TC-CAREGIVER-24</t>
        </is>
      </c>
      <c r="B32" s="7" t="inlineStr">
        <is>
          <t>Gỡ liên kết trên app với hộp thoại xác nhận</t>
        </is>
      </c>
      <c r="C32" s="8" t="inlineStr">
        <is>
          <t>Có người giám sát trong danh sách liên kết active (ví dụ Bác An)</t>
        </is>
      </c>
      <c r="D32" s="8" t="inlineStr">
        <is>
          <t>1. Mở màn Người thân đã liên kết (CaregiversScreen)
2. Bấm nút Gỡ liên kết tại mục Bác An
3. Tại hộp thoại Gỡ liên kết với người thân?, bấm Hủy
4. Bấm lại Gỡ liên kết và chọn Gỡ liên kết (xác nhận)</t>
        </is>
      </c>
      <c r="E32" s="8" t="inlineStr">
        <is>
          <t>linkId=1, name='Bác An'</t>
        </is>
      </c>
      <c r="F32" s="8" t="inlineStr">
        <is>
          <t>Hộp thoại nêu rõ người thân mất quyền xem ngay; chọn Hủy thì đóng hộp thoại không gọi API; xác nhận thì gọi DELETE /family/links/{id}, nút chuyển loading, gỡ mục khỏi danh sách và hiện SnackBar 'Đã gỡ liên kết với Bác An.'</t>
        </is>
      </c>
      <c r="G32" s="8" t="inlineStr">
        <is>
          <t>Đúng như mong đợi (hộp thoại chuẩn, nút Hủy đóng dialog, xác nhận gọi DELETE 204 và hiện SnackBar)</t>
        </is>
      </c>
      <c r="H32" s="7" t="inlineStr">
        <is>
          <t>Pass</t>
        </is>
      </c>
      <c r="I32" s="8" t="inlineStr">
        <is>
          <t>AC1, AC2, AC3 · caregivers_screen_test.dart · evidence/implement-final-frontend.log</t>
        </is>
      </c>
    </row>
    <row r="33" ht="57.5" customHeight="1">
      <c r="A33" s="7" t="inlineStr">
        <is>
          <t>TC-CAREGIVER-25</t>
        </is>
      </c>
      <c r="B33" s="7" t="inlineStr">
        <is>
          <t>Chưa bật family_sharing: chỉ tắt được, không bật được</t>
        </is>
      </c>
      <c r="C33" s="8" t="inlineStr">
        <is>
          <t>Tài khoản chưa bật family_sharing; 1 người giám sát đang tắt, 1 đang bật</t>
        </is>
      </c>
      <c r="D33" s="8" t="inlineStr">
        <is>
          <t>1. Mở màn Người giám sát
2. Bấm "Mở Quyền riêng tư"</t>
        </is>
      </c>
      <c r="E33" s="8" t="inlineStr">
        <is>
          <t>-</t>
        </is>
      </c>
      <c r="F33" s="8" t="inlineStr">
        <is>
          <t>Có dải nhắc; công tắc đang tắt bị khóa, công tắc đang bật vẫn tắt được; nút mở màn Quyền riêng tư</t>
        </is>
      </c>
      <c r="G33" s="8" t="inlineStr">
        <is>
          <t>Đúng như mong đợi</t>
        </is>
      </c>
      <c r="H33" s="7" t="inlineStr">
        <is>
          <t>Pass</t>
        </is>
      </c>
      <c r="I33" s="8" t="inlineStr">
        <is>
          <t>AC19 · caregivers_screen_test.dart (AC19) · evidence/implement-final-frontend.log</t>
        </is>
      </c>
    </row>
    <row r="34" ht="57.5" customHeight="1">
      <c r="A34" s="7" t="inlineStr">
        <is>
          <t>TC-CAREGIVER-26</t>
        </is>
      </c>
      <c r="B34" s="7" t="inlineStr">
        <is>
          <t>Xử lý lỗi khi bật chia sẻ trên app</t>
        </is>
      </c>
      <c r="C34" s="8" t="inlineStr">
        <is>
          <t>Có người giám sát; server trả lỗi</t>
        </is>
      </c>
      <c r="D34" s="8" t="inlineStr">
        <is>
          <t>1. Bật chia sẻ khi server trả lần lượt 403 consent_revoked, 409, 404, 409 consent_confirmation_missing, lỗi mạng</t>
        </is>
      </c>
      <c r="E34" s="8" t="inlineStr">
        <is>
          <t>-</t>
        </is>
      </c>
      <c r="F34" s="8" t="inlineStr">
        <is>
          <t>Báo đúng câu cho từng lỗi; công tắc giữ giá trị cũ; 409/404 thì tải lại danh sách</t>
        </is>
      </c>
      <c r="G34" s="8" t="inlineStr">
        <is>
          <t>Đúng như mong đợi</t>
        </is>
      </c>
      <c r="H34" s="7" t="inlineStr">
        <is>
          <t>Pass</t>
        </is>
      </c>
      <c r="I34" s="8" t="inlineStr">
        <is>
          <t>AC22 · caregivers_screen_test.dart (AC22) · evidence/implement-final-frontend.log</t>
        </is>
      </c>
    </row>
    <row r="35" ht="57.5" customHeight="1">
      <c r="A35" s="7" t="inlineStr">
        <is>
          <t>TC-CAREGIVER-27</t>
        </is>
      </c>
      <c r="B35" s="7" t="inlineStr">
        <is>
          <t>Mở lại màn và kéo xuống luôn gọi lại API</t>
        </is>
      </c>
      <c r="C35" s="8" t="inlineStr">
        <is>
          <t>Có người giám sát</t>
        </is>
      </c>
      <c r="D35" s="8" t="inlineStr">
        <is>
          <t>1. Kéo xuống
2. Đóng rồi mở lại màn</t>
        </is>
      </c>
      <c r="E35" s="8" t="inlineStr">
        <is>
          <t>-</t>
        </is>
      </c>
      <c r="F35" s="8" t="inlineStr">
        <is>
          <t>Mỗi lần gọi lại listCaregivers; không dùng dữ liệu cũ</t>
        </is>
      </c>
      <c r="G35" s="8" t="inlineStr">
        <is>
          <t>Đúng như mong đợi</t>
        </is>
      </c>
      <c r="H35" s="7" t="inlineStr">
        <is>
          <t>Pass</t>
        </is>
      </c>
      <c r="I35" s="8" t="inlineStr">
        <is>
          <t>AC22 · caregivers_screen_test.dart (AC20, AC22) · evidence/implement-final-frontend.log</t>
        </is>
      </c>
    </row>
    <row r="36" ht="90.5" customHeight="1">
      <c r="A36" s="7" t="inlineStr">
        <is>
          <t>TC-CAREGIVER-28</t>
        </is>
      </c>
      <c r="B36" s="7" t="inlineStr">
        <is>
          <t>Bật/tắt chia sẻ và hủy liên kết thật trên hai thiết bị</t>
        </is>
      </c>
      <c r="C36" s="8" t="inlineStr">
        <is>
          <t>P và F đã liên kết, chia sẻ bật; backend đang chạy</t>
        </is>
      </c>
      <c r="D36" s="8" t="inlineStr">
        <is>
          <t>1. F mở dữ liệu thuốc của P
2. P tắt chia sẻ ở Hồ sơ &gt; Người giám sát
3. F tải lại
4. P bật lại rồi Hủy liên kết
5. F tải lại; F gửi lại mã</t>
        </is>
      </c>
      <c r="E36" s="8" t="inlineStr">
        <is>
          <t>-</t>
        </is>
      </c>
      <c r="F36" s="8" t="inlineStr">
        <is>
          <t>F xem được khi đang chia sẻ; sau khi tắt hoặc hủy, lần tải kế tiếp F bị từ chối; sau khi hủy F gửi lại mã tạo được yêu cầu mới</t>
        </is>
      </c>
      <c r="G36" s="8" t="inlineStr"/>
      <c r="H36" s="7" t="inlineStr">
        <is>
          <t>Pending</t>
        </is>
      </c>
      <c r="I36" s="8" t="inlineStr">
        <is>
          <t>AC23 · manual</t>
        </is>
      </c>
    </row>
    <row r="37" ht="90.5" customHeight="1">
      <c r="A37" s="7" t="inlineStr">
        <is>
          <t>TC-CAREGIVER-29</t>
        </is>
      </c>
      <c r="B37" s="7" t="inlineStr">
        <is>
          <t>Màn hình Người thân đã liên kết hiển thị danh sách và nút Gỡ liên kết cho từng người; bấm Hủy không đổi dữ liệu</t>
        </is>
      </c>
      <c r="C37" s="8" t="inlineStr">
        <is>
          <t>Patient đã đăng nhập, có ít nhất một người thân liên kết hợp lệ</t>
        </is>
      </c>
      <c r="D37" s="8" t="inlineStr">
        <is>
          <t>1. Mở màn hình Hồ sơ &gt; Người thân đã liên kết
2. Kiểm tra danh sách hiển thị và sự xuất hiện của nút Gỡ liên kết
3. Bấm Gỡ liên kết, sau đó bấm Hủy trên dialog xác nhận</t>
        </is>
      </c>
      <c r="E37" s="8" t="inlineStr">
        <is>
          <t>caregiver: Bác An (linkId=1)</t>
        </is>
      </c>
      <c r="F37" s="8" t="inlineStr">
        <is>
          <t>Hiển thị đúng tên, ngày liên kết; mỗi item có nút Gỡ liên kết; khi bấm Hủy, dialog đóng lại, không gọi API DELETE và giữ nguyên danh sách.</t>
        </is>
      </c>
      <c r="G37" s="8" t="inlineStr">
        <is>
          <t>Đúng như mong đợi (CaregiversScreen render đủ thông tin, dialog đóng khi hủy, không gọi API)</t>
        </is>
      </c>
      <c r="H37" s="7" t="inlineStr">
        <is>
          <t>Pass</t>
        </is>
      </c>
      <c r="I37" s="8" t="inlineStr">
        <is>
          <t>AC1, AC2 · caregivers_screen_test.dart · evidence/implement-final-frontend.log</t>
        </is>
      </c>
    </row>
    <row r="38" ht="90.5" customHeight="1">
      <c r="A38" s="7" t="inlineStr">
        <is>
          <t>TC-CAREGIVER-30</t>
        </is>
      </c>
      <c r="B38" s="7" t="inlineStr">
        <is>
          <t>Xác nhận gỡ liên kết gọi đúng API DELETE /family/links/{id} nhận 204 No Content và cập nhật UI</t>
        </is>
      </c>
      <c r="C38" s="8" t="inlineStr">
        <is>
          <t>Patient đang mở dialog xác nhận gỡ liên kết với Bác An</t>
        </is>
      </c>
      <c r="D38" s="8" t="inlineStr">
        <is>
          <t>1. Bấm nút Gỡ liên kết trên dialog xác nhận
2. Theo dõi request gửi đi từ RemoteCaregiverRepository
3. Kiểm tra phản hồi HTTP 204 No Content và cập nhật state/UI</t>
        </is>
      </c>
      <c r="E38" s="8" t="inlineStr">
        <is>
          <t>linkId=1, method=DELETE, url=/family/links/1</t>
        </is>
      </c>
      <c r="F38" s="8" t="inlineStr">
        <is>
          <t>Gửi đúng DELETE /family/links/1 (không body), nhận 204 No Content; mục Bác An biến mất khỏi danh sách và hiển thị SnackBar: Đã gỡ liên kết với Bác An.</t>
        </is>
      </c>
      <c r="G38" s="8" t="inlineStr">
        <is>
          <t>Đúng như mong đợi (gọi DELETE 204, item được gỡ và SnackBar hiển thị chuẩn)</t>
        </is>
      </c>
      <c r="H38" s="7" t="inlineStr">
        <is>
          <t>Pass</t>
        </is>
      </c>
      <c r="I38" s="8" t="inlineStr">
        <is>
          <t>AC3 · remote_caregiver_repository_test.dart, caregivers_screen_test.dart · evidence/implement-final-frontend.log</t>
        </is>
      </c>
    </row>
    <row r="39" ht="74" customHeight="1">
      <c r="A39" s="7" t="inlineStr">
        <is>
          <t>TC-CAREGIVER-31</t>
        </is>
      </c>
      <c r="B39" s="7" t="inlineStr">
        <is>
          <t>Xử lý khi API gỡ liên kết thất bại (lỗi mạng hoặc server)</t>
        </is>
      </c>
      <c r="C39" s="8" t="inlineStr">
        <is>
          <t>Patient xác nhận gỡ liên kết nhưng backend trả lỗi (ví dụ lỗi mạng hoặc 500)</t>
        </is>
      </c>
      <c r="D39" s="8" t="inlineStr">
        <is>
          <t>1. Bấm nút Gỡ liên kết trên dialog xác nhận
2. Backend giả lập ném CaregiverFailureKind.network
3. Quan sát giao diện và danh sách hiển thị</t>
        </is>
      </c>
      <c r="E39" s="8" t="inlineStr">
        <is>
          <t>linkId=1, failure=network</t>
        </is>
      </c>
      <c r="F39" s="8" t="inlineStr">
        <is>
          <t>Giữ nguyên danh sách người thân, không xóa nhầm dữ liệu; hiển thị thông báo lỗi phù hợp trên SnackBar và cho phép người dùng thử lại.</t>
        </is>
      </c>
      <c r="G39" s="8" t="inlineStr">
        <is>
          <t>Đúng như mong đợi (danh sách giữ nguyên, SnackBar báo lỗi và cho phép thử lại)</t>
        </is>
      </c>
      <c r="H39" s="7" t="inlineStr">
        <is>
          <t>Pass</t>
        </is>
      </c>
      <c r="I39" s="8" t="inlineStr">
        <is>
          <t>AC4 · caregivers_screen_test.dart · evidence/implement-final-frontend.log</t>
        </is>
      </c>
    </row>
    <row r="40" ht="90.5" customHeight="1">
      <c r="A40" s="7" t="inlineStr">
        <is>
          <t>TC-CAREGIVER-32</t>
        </is>
      </c>
      <c r="B40" s="7" t="inlineStr">
        <is>
          <t>Khóa nút và hiển thị loading spinner chống bấm trùng; tự động tải lại nếu link đã bị gỡ từ trước</t>
        </is>
      </c>
      <c r="C40" s="8" t="inlineStr">
        <is>
          <t>Patient bấm nút Gỡ liên kết</t>
        </is>
      </c>
      <c r="D40" s="8" t="inlineStr">
        <is>
          <t>1. Bấm xác nhận gỡ liên kết
2. Trong khi request đang pending, cố gắng bấm nút lần nữa
3. Kiểm tra trường hợp server trả 404 (đã bị gỡ từ trước)</t>
        </is>
      </c>
      <c r="E40" s="8" t="inlineStr">
        <is>
          <t>linkId=1</t>
        </is>
      </c>
      <c r="F40" s="8" t="inlineStr">
        <is>
          <t>Nút chuyển sang CircularProgressIndicator và bị khóa không cho bấm trùng; nếu server báo link không tồn tại (404), tự động gọi load() làm mới danh sách.</t>
        </is>
      </c>
      <c r="G40" s="8" t="inlineStr">
        <is>
          <t>Đúng như mong đợi (loading spinner hiển thị, nút bị khóa, tự reload khi gặp lỗi transition/not found)</t>
        </is>
      </c>
      <c r="H40" s="7" t="inlineStr">
        <is>
          <t>Pass</t>
        </is>
      </c>
      <c r="I40" s="8" t="inlineStr">
        <is>
          <t>AC5 · caregivers_screen_test.dart · evidence/implement-final-frontend.log</t>
        </is>
      </c>
    </row>
    <row r="41" ht="107" customHeight="1">
      <c r="A41" s="7" t="inlineStr">
        <is>
          <t>TC-CAREGIVER-33</t>
        </is>
      </c>
      <c r="B41" s="7" t="inlineStr">
        <is>
          <t>Family Member gặp HTTP 403 Forbidden khi truy cập dữ liệu Patient bị gỡ: xóa khỏi state và dọn dẹp cache</t>
        </is>
      </c>
      <c r="C41" s="8" t="inlineStr">
        <is>
          <t>Family Member đang liên kết với Patient A và Patient B; Patient A đã gỡ liên kết</t>
        </is>
      </c>
      <c r="D41" s="8" t="inlineStr">
        <is>
          <t>1. Family Member gửi request truy cập lịch sử tuân thủ hoặc cảnh báo của Patient A
2. API trả về HTTP 403 Forbidden (AdherenceFailureKind.denied)
3. LinkedPatientsController và AdherenceController xử lý phản hồi 403</t>
        </is>
      </c>
      <c r="E41" s="8" t="inlineStr">
        <is>
          <t>patientId=patient-A-uuid</t>
        </is>
      </c>
      <c r="F41" s="8" t="inlineStr">
        <is>
          <t>Patient A bị xóa khỏi danh sách linked patients; SQLite cache lịch uống của Patient A bị dọn sạch (clearPatientData); history trên RAM bị xóa (history=null); alerts của Patient A bị loại bỏ.</t>
        </is>
      </c>
      <c r="G41" s="8" t="inlineStr">
        <is>
          <t>Đúng như mong đợi (state loại bỏ patientA, clearPatientData được gọi, history reset null, alert bị dọn)</t>
        </is>
      </c>
      <c r="H41" s="7" t="inlineStr">
        <is>
          <t>Pass</t>
        </is>
      </c>
      <c r="I41" s="8" t="inlineStr">
        <is>
          <t>AC6 · linked_patients_controller_test.dart, adherence_controller_test.dart · evidence/implement-final-frontend.log</t>
        </is>
      </c>
    </row>
    <row r="42" ht="90.5" customHeight="1">
      <c r="A42" s="7" t="inlineStr">
        <is>
          <t>TC-CAREGIVER-34</t>
        </is>
      </c>
      <c r="B42" s="7" t="inlineStr">
        <is>
          <t>Family Member đồng bộ danh sách liên kết mới từ backend: xóa bỏ các Patient không còn trong danh sách</t>
        </is>
      </c>
      <c r="C42" s="8" t="inlineStr">
        <is>
          <t>Family Member có state cục bộ gồm Patient A, Patient B, Patient C</t>
        </is>
      </c>
      <c r="D42" s="8" t="inlineStr">
        <is>
          <t>1. Backend trả về danh sách liên kết mới chỉ gồm Patient B và Patient C
2. LinkedPatientsController.syncPatients được kích hoạt
3. Kiểm tra danh sách hiển thị và cache cục bộ</t>
        </is>
      </c>
      <c r="E42" s="8" t="inlineStr">
        <is>
          <t>newActivePatients=[Patient B, Patient C]</t>
        </is>
      </c>
      <c r="F42" s="8" t="inlineStr">
        <is>
          <t>Patient A tự động bị xóa khỏi state hiển thị; toàn bộ cache SQLite và alert của Patient A được dọn sạch; dữ liệu của Patient B và C giữ nguyên.</t>
        </is>
      </c>
      <c r="G42" s="8" t="inlineStr">
        <is>
          <t>Đúng như mong đợi (Patient A bị loại bỏ, cache SQLite được dọn, Patient B và C còn nguyên)</t>
        </is>
      </c>
      <c r="H42" s="7" t="inlineStr">
        <is>
          <t>Pass</t>
        </is>
      </c>
      <c r="I42" s="8" t="inlineStr">
        <is>
          <t>AC7 · linked_patients_controller_test.dart · evidence/implement-final-frontend.log</t>
        </is>
      </c>
    </row>
    <row r="43" ht="90.5" customHeight="1">
      <c r="A43" s="7" t="inlineStr">
        <is>
          <t>TC-CAREGIVER-35</t>
        </is>
      </c>
      <c r="B43" s="7" t="inlineStr">
        <is>
          <t>Độc lập dữ liệu giữa các bệnh nhân khi gỡ liên kết</t>
        </is>
      </c>
      <c r="C43" s="8" t="inlineStr">
        <is>
          <t>Local database và alert store đang lưu dữ liệu của cả Patient A và Patient B</t>
        </is>
      </c>
      <c r="D43" s="8" t="inlineStr">
        <is>
          <t>1. Kích hoạt thu hồi quyền truy cập đối với Patient A (clearPatientData và removePatient)
2. Truy vấn dữ liệu SQLite của schedulesTable
3. Kiểm tra danh sách alerts trong FamilyAlertController</t>
        </is>
      </c>
      <c r="E43" s="8" t="inlineStr">
        <is>
          <t>patientA, patientB</t>
        </is>
      </c>
      <c r="F43" s="8" t="inlineStr">
        <is>
          <t>Toàn bộ bản ghi của Patient A bị xóa sạch; toàn bộ bản ghi của Patient B được bảo toàn 100%, không bị ảnh hưởng.</t>
        </is>
      </c>
      <c r="G43" s="8" t="inlineStr">
        <is>
          <t>Đúng như mong đợi (bản ghi Patient A bị xóa, Patient B còn nguyên vẹn)</t>
        </is>
      </c>
      <c r="H43" s="7" t="inlineStr">
        <is>
          <t>Pass</t>
        </is>
      </c>
      <c r="I43" s="8" t="inlineStr">
        <is>
          <t>AC8 · local_medication_store_test.dart, linked_patients_controller_test.dart · evidence/implement-final-frontend.log</t>
        </is>
      </c>
    </row>
    <row r="44" ht="90.5" customHeight="1">
      <c r="A44" s="7" t="inlineStr">
        <is>
          <t>TC-CAREGIVER-36</t>
        </is>
      </c>
      <c r="B44" s="7" t="inlineStr">
        <is>
          <t>An toàn khi nhiều request 403 thu hồi quyền diễn ra đồng thời hoặc lặp lại (concurrency &amp; idempotency)</t>
        </is>
      </c>
      <c r="C44" s="8" t="inlineStr">
        <is>
          <t>LinkedPatientsController đang quản lý Patient A</t>
        </is>
      </c>
      <c r="D44" s="8" t="inlineStr">
        <is>
          <t>1. Gửi đồng thời 5 lời gọi handleRevocation cho cùng Patient A
2. Chờ toàn bộ các lời gọi hoàn tất
3. Gửi thêm một lời gọi handleRevocation lặp lại khi Patient A đã bị gỡ</t>
        </is>
      </c>
      <c r="E44" s="8" t="inlineStr">
        <is>
          <t>5 concurrent calls for patientA</t>
        </is>
      </c>
      <c r="F44" s="8" t="inlineStr">
        <is>
          <t>Các lời gọi hoàn thành an toàn, không ném exception; patientA bị xóa sạch và không bị nhân bản hay hồi phục dữ liệu trái phép.</t>
        </is>
      </c>
      <c r="G44" s="8" t="inlineStr">
        <is>
          <t>Đúng như mong đợi (5 concurrent calls hoàn thành an toàn, không có race condition)</t>
        </is>
      </c>
      <c r="H44" s="7" t="inlineStr">
        <is>
          <t>Pass</t>
        </is>
      </c>
      <c r="I44" s="8" t="inlineStr">
        <is>
          <t>AC9 · linked_patients_controller_test.dart · evidence/implement-final-frontend.log</t>
        </is>
      </c>
    </row>
    <row r="45"/>
    <row r="46"/>
    <row r="47">
      <c r="G47" s="12" t="inlineStr">
        <is>
          <t>Pass</t>
        </is>
      </c>
      <c r="H47" s="13">
        <f>COUNTIF(H9:H44,"Pass")</f>
        <v/>
      </c>
    </row>
    <row r="48">
      <c r="G48" s="12" t="inlineStr">
        <is>
          <t>Fail</t>
        </is>
      </c>
      <c r="H48" s="13">
        <f>COUNTIF(H9:H44,"Fail")</f>
        <v/>
      </c>
    </row>
    <row r="49">
      <c r="G49" s="12" t="inlineStr">
        <is>
          <t>Pending</t>
        </is>
      </c>
      <c r="H49" s="13">
        <f>COUNTIF(H9:H44,"Pending")</f>
        <v/>
      </c>
    </row>
    <row r="50">
      <c r="G50" s="12" t="inlineStr">
        <is>
          <t>Total</t>
        </is>
      </c>
      <c r="H50" s="13">
        <f>SUM(H47:H49)</f>
        <v/>
      </c>
    </row>
  </sheetData>
  <autoFilter ref="A8:I44"/>
  <conditionalFormatting sqref="H9:H44">
    <cfRule type="cellIs" priority="1" operator="equal" dxfId="0">
      <formula>"Fail"</formula>
    </cfRule>
  </conditionalFormatting>
  <dataValidations count="1">
    <dataValidation sqref="H9:H44" showDropDown="0" showInputMessage="0" showErrorMessage="0" allowBlank="0" type="list">
      <formula1>"Pass,Fail,Pending"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22" customWidth="1" min="1" max="1"/>
    <col width="40" customWidth="1" min="2" max="2"/>
    <col width="30" customWidth="1" min="3" max="3"/>
    <col width="24" customWidth="1" min="4" max="4"/>
    <col width="24" customWidth="1" min="5" max="5"/>
    <col width="24" customWidth="1" min="6" max="6"/>
    <col width="14" customWidth="1" min="7" max="7"/>
    <col width="40" customWidth="1" min="8" max="8"/>
    <col width="45" customWidth="1" min="9" max="9"/>
  </cols>
  <sheetData>
    <row r="1">
      <c r="A1" s="14" t="inlineStr">
        <is>
          <t>TEST REPORT</t>
        </is>
      </c>
    </row>
    <row r="2">
      <c r="C2" s="15" t="inlineStr">
        <is>
          <t>DrugTime Team</t>
        </is>
      </c>
      <c r="D2" s="15" t="inlineStr">
        <is>
          <t>Total</t>
        </is>
      </c>
    </row>
    <row r="3">
      <c r="A3" s="15" t="inlineStr">
        <is>
          <t>Executed</t>
        </is>
      </c>
      <c r="B3" s="9" t="inlineStr">
        <is>
          <t>Passed</t>
        </is>
      </c>
      <c r="C3" s="11">
        <f>'Người giám sát'!$H$47</f>
        <v/>
      </c>
      <c r="D3" s="15">
        <f>SUM(C3:C3)</f>
        <v/>
      </c>
    </row>
    <row r="4">
      <c r="A4" s="16" t="n"/>
      <c r="B4" s="9" t="inlineStr">
        <is>
          <t>Failed</t>
        </is>
      </c>
      <c r="C4" s="11">
        <f>'Người giám sát'!$H$48</f>
        <v/>
      </c>
      <c r="D4" s="15">
        <f>SUM(C4:C4)</f>
        <v/>
      </c>
    </row>
    <row r="5">
      <c r="A5" s="17" t="n"/>
      <c r="B5" s="9" t="inlineStr">
        <is>
          <t>(Total) Test executed (Passed + Failed)</t>
        </is>
      </c>
      <c r="C5" s="11">
        <f>C3+C4</f>
        <v/>
      </c>
      <c r="D5" s="15">
        <f>SUM(C5:C5)</f>
        <v/>
      </c>
    </row>
    <row r="6">
      <c r="A6" s="15" t="inlineStr">
        <is>
          <t>Pending</t>
        </is>
      </c>
      <c r="B6" s="10" t="inlineStr"/>
      <c r="C6" s="11">
        <f>'Người giám sát'!$H$49</f>
        <v/>
      </c>
      <c r="D6" s="15">
        <f>SUM(C6:C6)</f>
        <v/>
      </c>
    </row>
    <row r="7">
      <c r="A7" s="15" t="inlineStr">
        <is>
          <t>(Sub-total) Test Planned</t>
        </is>
      </c>
      <c r="B7" s="10" t="inlineStr"/>
      <c r="C7" s="11">
        <f>C5+C6</f>
        <v/>
      </c>
      <c r="D7" s="15">
        <f>SUM(C7:C7)</f>
        <v/>
      </c>
    </row>
    <row r="10">
      <c r="A10" s="5" t="inlineStr">
        <is>
          <t>Function</t>
        </is>
      </c>
      <c r="B10" s="5" t="inlineStr">
        <is>
          <t>Description</t>
        </is>
      </c>
      <c r="C10" s="5" t="inlineStr">
        <is>
          <t>Sheet Name</t>
        </is>
      </c>
      <c r="D10" s="5" t="inlineStr">
        <is>
          <t>% TCs Executed</t>
        </is>
      </c>
      <c r="E10" s="5" t="inlineStr">
        <is>
          <t>% TCs Passed</t>
        </is>
      </c>
      <c r="F10" s="5" t="inlineStr">
        <is>
          <t>% TCs Failed</t>
        </is>
      </c>
      <c r="G10" s="5" t="inlineStr">
        <is>
          <t>Priority</t>
        </is>
      </c>
      <c r="H10" s="5" t="inlineStr">
        <is>
          <t>Remarks</t>
        </is>
      </c>
      <c r="I10" s="5" t="inlineStr">
        <is>
          <t>Done by</t>
        </is>
      </c>
    </row>
    <row r="11" ht="74" customHeight="1">
      <c r="A11" s="11" t="inlineStr">
        <is>
          <t>Quản lý người giám sát</t>
        </is>
      </c>
      <c r="B11" s="10" t="inlineStr">
        <is>
          <t>Quản lý người giám sát và gỡ liên kết người thân trên mobile (task 3.27)</t>
        </is>
      </c>
      <c r="C11" s="11" t="inlineStr">
        <is>
          <t>Người giám sát</t>
        </is>
      </c>
      <c r="D11" s="18">
        <f>IFERROR(('Người giám sát'!$H$50-'Người giám sát'!$H$49)/'Người giám sát'!$H$50,0)</f>
        <v/>
      </c>
      <c r="E11" s="18">
        <f>IFERROR('Người giám sát'!$H$47/'Người giám sát'!$H$50,0)</f>
        <v/>
      </c>
      <c r="F11" s="18">
        <f>IFERROR('Người giám sát'!$H$48/'Người giám sát'!$H$50,0)</f>
        <v/>
      </c>
      <c r="G11" s="11" t="inlineStr">
        <is>
          <t>High</t>
        </is>
      </c>
      <c r="H11" s="10" t="inlineStr">
        <is>
          <t>Hoàn thành 100% kiểm thử unit, widget và tích hợp controller. 35/36 test cases pass (1 manual pending trên 2 thiết bị thật).</t>
        </is>
      </c>
      <c r="I11" s="11" t="inlineStr">
        <is>
          <t>DrugTime Team</t>
        </is>
      </c>
    </row>
    <row r="34">
      <c r="A34" s="19" t="inlineStr">
        <is>
          <t>Bug Report</t>
        </is>
      </c>
    </row>
    <row r="35">
      <c r="A35" s="20" t="inlineStr">
        <is>
          <t>Bug ID</t>
        </is>
      </c>
      <c r="B35" s="20" t="inlineStr">
        <is>
          <t>Description</t>
        </is>
      </c>
      <c r="C35" s="20" t="inlineStr">
        <is>
          <t>Steps to Reproduce</t>
        </is>
      </c>
      <c r="D35" s="20" t="inlineStr">
        <is>
          <t>Input Data</t>
        </is>
      </c>
      <c r="E35" s="20" t="inlineStr">
        <is>
          <t>Expected Result</t>
        </is>
      </c>
      <c r="F35" s="20" t="inlineStr">
        <is>
          <t>Actual Result</t>
        </is>
      </c>
      <c r="G35" s="20" t="inlineStr">
        <is>
          <t>Severity</t>
        </is>
      </c>
      <c r="H35" s="20" t="inlineStr">
        <is>
          <t>Name of Tester</t>
        </is>
      </c>
      <c r="I35" s="20" t="inlineStr">
        <is>
          <t>Logs</t>
        </is>
      </c>
    </row>
  </sheetData>
  <mergeCells count="2">
    <mergeCell ref="A1:G1"/>
    <mergeCell ref="A3:A5"/>
  </mergeCells>
  <conditionalFormatting sqref="F11">
    <cfRule type="cellIs" priority="1" operator="greaterThan" dxfId="0">
      <formula>0.2</formula>
    </cfRule>
  </conditionalFormatting>
  <conditionalFormatting sqref="G11">
    <cfRule type="expression" priority="2" dxfId="0">
      <formula>OR(G11="Critical",G11="High")</formula>
    </cfRule>
  </conditionalFormatting>
  <conditionalFormatting sqref="G36">
    <cfRule type="cellIs" priority="3" operator="equal" dxfId="1">
      <formula>"Critical"</formula>
    </cfRule>
    <cfRule type="cellIs" priority="4" operator="equal" dxfId="2">
      <formula>"High"</formula>
    </cfRule>
    <cfRule type="cellIs" priority="5" operator="equal" dxfId="3">
      <formula>"Medium"</formula>
    </cfRule>
  </conditionalFormatting>
  <dataValidations count="2">
    <dataValidation sqref="G11" showDropDown="0" showInputMessage="0" showErrorMessage="0" allowBlank="1" type="list">
      <formula1>"Critical,High,Medium,Low"</formula1>
    </dataValidation>
    <dataValidation sqref="G36" showDropDown="0" showInputMessage="0" showErrorMessage="0" allowBlank="1" type="list">
      <formula1>"Critical,High,Medium,Low"</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2026-10-24T00:42:06Z</dcterms:created>
  <dcterms:modified xsi:type="dcterms:W3CDTF">2026-10-24T00:42:06Z</dcterms:modified>
</cp:coreProperties>
</file>