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 CRUD" sheetId="1" state="visible" r:id="rId1"/>
    <sheet xmlns:r="http://schemas.openxmlformats.org/officeDocument/2006/relationships" name="Report" sheetId="2" state="visible" r:id="rId2"/>
  </sheets>
  <definedNames>
    <definedName name="_xlnm._FilterDatabase" localSheetId="0" hidden="1">'Catalog CRUD'!$A$8:$I$29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1"/>
    </font>
    <font>
      <name val="Times New Roman"/>
      <sz val="11"/>
    </font>
    <font>
      <name val="Times New Roman"/>
      <b val="1"/>
      <sz val="18"/>
    </font>
    <font>
      <name val="Times New Roman"/>
      <b val="1"/>
      <sz val="14"/>
    </font>
  </fonts>
  <fills count="5">
    <fill>
      <patternFill/>
    </fill>
    <fill>
      <patternFill patternType="gray125"/>
    </fill>
    <fill>
      <patternFill patternType="solid">
        <fgColor rgb="006AA84F"/>
      </patternFill>
    </fill>
    <fill>
      <patternFill patternType="solid">
        <fgColor rgb="00A8D08D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9" fontId="2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9C0006"/>
      </font>
      <fill>
        <patternFill patternType="solid">
          <bgColor rgb="00FFC7CE"/>
        </patternFill>
      </fill>
    </dxf>
    <dxf>
      <font>
        <b val="1"/>
        <color rgb="00FFFFFF"/>
      </font>
      <fill>
        <patternFill patternType="solid">
          <bgColor rgb="00C00000"/>
        </patternFill>
      </fill>
    </dxf>
    <dxf>
      <font>
        <b val="1"/>
        <color rgb="00FFFFFF"/>
      </font>
      <fill>
        <patternFill patternType="solid">
          <bgColor rgb="00FF0000"/>
        </patternFill>
      </fill>
    </dxf>
    <dxf>
      <font>
        <b val="1"/>
        <color rgb="00000000"/>
      </font>
      <fill>
        <patternFill patternType="solid">
          <bgColor rgb="00FFE5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Kết quả theo chức năng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</f>
            </numRef>
          </cat>
          <val>
            <numRef>
              <f>'Report'!$D$11</f>
            </numRef>
          </val>
        </ser>
        <ser>
          <idx val="1"/>
          <order val="1"/>
          <tx>
            <strRef>
              <f>'Report'!E10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</f>
            </numRef>
          </cat>
          <val>
            <numRef>
              <f>'Report'!$E$11</f>
            </numRef>
          </val>
        </ser>
        <ser>
          <idx val="2"/>
          <order val="2"/>
          <tx>
            <strRef>
              <f>'Report'!F10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</f>
            </numRef>
          </cat>
          <val>
            <numRef>
              <f>'Report'!$F$11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Tổng Pass /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'Report'!$B$3:$B$4</f>
            </numRef>
          </cat>
          <val>
            <numRef>
              <f>'Report'!$D$3:$D$4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13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2" customWidth="1" min="3" max="3"/>
    <col width="50" customWidth="1" min="4" max="4"/>
    <col width="32" customWidth="1" min="5" max="5"/>
    <col width="45" customWidth="1" min="6" max="6"/>
    <col width="45" customWidth="1" min="7" max="7"/>
    <col width="12" customWidth="1" min="8" max="8"/>
    <col width="34" customWidth="1" min="9" max="9"/>
    <col width="22" customWidth="1" min="11" max="11"/>
    <col width="34" customWidth="1" min="12" max="12"/>
    <col width="7" customWidth="1" min="13" max="13"/>
    <col width="34" customWidth="1" min="14" max="14"/>
    <col width="7" customWidth="1" min="15" max="15"/>
    <col width="34" customWidth="1" min="17" max="17"/>
    <col width="8" customWidth="1" min="18" max="18"/>
    <col width="8" customWidth="1" min="19" max="19"/>
    <col width="8" customWidth="1" min="20" max="20"/>
  </cols>
  <sheetData>
    <row r="1">
      <c r="A1" s="1" t="inlineStr">
        <is>
          <t>Project Name</t>
        </is>
      </c>
      <c r="B1" s="2" t="inlineStr">
        <is>
          <t>DrugTime</t>
        </is>
      </c>
    </row>
    <row r="2">
      <c r="A2" s="1" t="inlineStr">
        <is>
          <t>Module Name</t>
        </is>
      </c>
      <c r="B2" s="2" t="inlineStr">
        <is>
          <t>Admin Medication Catalog CRUD (CATCRUD)</t>
        </is>
      </c>
    </row>
    <row r="3">
      <c r="A3" s="1" t="inlineStr">
        <is>
          <t>Created By</t>
        </is>
      </c>
      <c r="B3" s="2" t="inlineStr">
        <is>
          <t>phucnguyenngoc</t>
        </is>
      </c>
    </row>
    <row r="4">
      <c r="A4" s="1" t="inlineStr">
        <is>
          <t>Creation Date</t>
        </is>
      </c>
      <c r="B4" s="3" t="n">
        <v>46303</v>
      </c>
    </row>
    <row r="5">
      <c r="A5" s="1" t="inlineStr">
        <is>
          <t>Reviewed By</t>
        </is>
      </c>
      <c r="B5" s="2" t="inlineStr"/>
    </row>
    <row r="6">
      <c r="A6" s="1" t="inlineStr">
        <is>
          <t>Reviewed Date</t>
        </is>
      </c>
      <c r="B6" s="2" t="n"/>
    </row>
    <row r="7">
      <c r="K7" s="4" t="inlineStr">
        <is>
          <t>Equivalence Partitioning</t>
        </is>
      </c>
      <c r="Q7" s="4" t="inlineStr">
        <is>
          <t>Quyền gọi Admin Medication CRUD</t>
        </is>
      </c>
    </row>
    <row r="8">
      <c r="A8" s="1" t="inlineStr">
        <is>
          <t>Test Case ID</t>
        </is>
      </c>
      <c r="B8" s="1" t="inlineStr">
        <is>
          <t>Description</t>
        </is>
      </c>
      <c r="C8" s="1" t="inlineStr">
        <is>
          <t>Precondition</t>
        </is>
      </c>
      <c r="D8" s="1" t="inlineStr">
        <is>
          <t>Test Steps</t>
        </is>
      </c>
      <c r="E8" s="1" t="inlineStr">
        <is>
          <t>Test Data</t>
        </is>
      </c>
      <c r="F8" s="1" t="inlineStr">
        <is>
          <t>Expected Result</t>
        </is>
      </c>
      <c r="G8" s="1" t="inlineStr">
        <is>
          <t>Actual Result</t>
        </is>
      </c>
      <c r="H8" s="1" t="inlineStr">
        <is>
          <t>Status</t>
        </is>
      </c>
      <c r="I8" s="1" t="inlineStr">
        <is>
          <t>Comments(if any)</t>
        </is>
      </c>
      <c r="K8" s="5" t="inlineStr">
        <is>
          <t>Field</t>
        </is>
      </c>
      <c r="L8" s="5" t="inlineStr">
        <is>
          <t>Valid</t>
        </is>
      </c>
      <c r="M8" s="5" t="inlineStr">
        <is>
          <t>Num</t>
        </is>
      </c>
      <c r="N8" s="5" t="inlineStr">
        <is>
          <t>Invalid</t>
        </is>
      </c>
      <c r="O8" s="5" t="inlineStr">
        <is>
          <t>Num</t>
        </is>
      </c>
      <c r="Q8" s="6" t="inlineStr">
        <is>
          <t>Rule</t>
        </is>
      </c>
      <c r="R8" s="5" t="inlineStr">
        <is>
          <t>R1</t>
        </is>
      </c>
      <c r="S8" s="5" t="inlineStr">
        <is>
          <t>R2</t>
        </is>
      </c>
      <c r="T8" s="5" t="inlineStr">
        <is>
          <t>R3</t>
        </is>
      </c>
    </row>
    <row r="9" ht="57.5" customHeight="1">
      <c r="A9" s="7" t="inlineStr">
        <is>
          <t>TC-CATCRUD-01</t>
        </is>
      </c>
      <c r="B9" s="7" t="inlineStr">
        <is>
          <t>Từ chối người chưa đăng nhập trên toàn bộ endpoint CRUD</t>
        </is>
      </c>
      <c r="C9" s="8" t="inlineStr">
        <is>
          <t>Không gửi danh tính xác thực.</t>
        </is>
      </c>
      <c r="D9" s="8" t="inlineStr">
        <is>
          <t>1. Lần lượt gọi POST, GET danh sách, GET chi tiết, PATCH và DELETE /admin/medications.</t>
        </is>
      </c>
      <c r="E9" s="8" t="inlineStr">
        <is>
          <t>med_id=1; name=Panadol</t>
        </is>
      </c>
      <c r="F9" s="8" t="inlineStr">
        <is>
          <t>Mỗi request trả 401.</t>
        </is>
      </c>
      <c r="G9" s="8" t="inlineStr">
        <is>
          <t>Năm trường hợp tham số hóa đều trả 401.</t>
        </is>
      </c>
      <c r="H9" s="7" t="inlineStr">
        <is>
          <t>Pass</t>
        </is>
      </c>
      <c r="I9" s="8" t="inlineStr">
        <is>
          <t>AC1 · Decision Table (R1) · test_admin_endpoints_require_auth_401</t>
        </is>
      </c>
      <c r="K9" s="9" t="inlineStr">
        <is>
          <t>vai trò</t>
        </is>
      </c>
      <c r="L9" s="10" t="inlineStr">
        <is>
          <t>admin đã xác thực</t>
        </is>
      </c>
      <c r="M9" s="10" t="inlineStr">
        <is>
          <t>1</t>
        </is>
      </c>
      <c r="N9" s="10" t="inlineStr">
        <is>
          <t>không có danh tính
user is_admin=false</t>
        </is>
      </c>
      <c r="O9" s="10" t="inlineStr">
        <is>
          <t>6
7</t>
        </is>
      </c>
      <c r="Q9" s="10" t="inlineStr">
        <is>
          <t>Có danh tính?</t>
        </is>
      </c>
      <c r="R9" s="11" t="inlineStr">
        <is>
          <t>No</t>
        </is>
      </c>
      <c r="S9" s="11" t="inlineStr">
        <is>
          <t>Yes</t>
        </is>
      </c>
      <c r="T9" s="11" t="inlineStr">
        <is>
          <t>Yes</t>
        </is>
      </c>
    </row>
    <row r="10" ht="57.5" customHeight="1">
      <c r="A10" s="7" t="inlineStr">
        <is>
          <t>TC-CATCRUD-02</t>
        </is>
      </c>
      <c r="B10" s="7" t="inlineStr">
        <is>
          <t>Từ chối user không phải admin trên toàn bộ endpoint CRUD</t>
        </is>
      </c>
      <c r="C10" s="8" t="inlineStr">
        <is>
          <t>User đã xác thực với is_admin=false.</t>
        </is>
      </c>
      <c r="D10" s="8" t="inlineStr">
        <is>
          <t>1. Lần lượt gọi năm endpoint Admin Medication CRUD.</t>
        </is>
      </c>
      <c r="E10" s="8" t="inlineStr">
        <is>
          <t>med_id=1; name=Panadol</t>
        </is>
      </c>
      <c r="F10" s="8" t="inlineStr">
        <is>
          <t>Mỗi request trả 403 và {"detail":"Admin only"}.</t>
        </is>
      </c>
      <c r="G10" s="8" t="inlineStr">
        <is>
          <t>Năm trường hợp đều trả 403 và đúng detail.</t>
        </is>
      </c>
      <c r="H10" s="7" t="inlineStr">
        <is>
          <t>Pass</t>
        </is>
      </c>
      <c r="I10" s="8" t="inlineStr">
        <is>
          <t>AC2 · Decision Table (R2) · test_admin_endpoints_reject_non_admin_403</t>
        </is>
      </c>
      <c r="K10" s="9" t="inlineStr">
        <is>
          <t>name</t>
        </is>
      </c>
      <c r="L10" s="10" t="inlineStr">
        <is>
          <t>độ dài 1..255</t>
        </is>
      </c>
      <c r="M10" s="10" t="inlineStr">
        <is>
          <t>2</t>
        </is>
      </c>
      <c r="N10" s="10" t="inlineStr">
        <is>
          <t>rỗng
dài hơn 255 ký tự</t>
        </is>
      </c>
      <c r="O10" s="10" t="inlineStr">
        <is>
          <t>8
9</t>
        </is>
      </c>
      <c r="Q10" s="10" t="inlineStr">
        <is>
          <t>is_admin?</t>
        </is>
      </c>
      <c r="R10" s="11" t="inlineStr">
        <is>
          <t>-</t>
        </is>
      </c>
      <c r="S10" s="11" t="inlineStr">
        <is>
          <t>No</t>
        </is>
      </c>
      <c r="T10" s="11" t="inlineStr">
        <is>
          <t>Yes</t>
        </is>
      </c>
    </row>
    <row r="11" ht="57.5" customHeight="1">
      <c r="A11" s="7" t="inlineStr">
        <is>
          <t>TC-CATCRUD-03</t>
        </is>
      </c>
      <c r="B11" s="7" t="inlineStr">
        <is>
          <t>Tạo thuốc với payload hợp lệ</t>
        </is>
      </c>
      <c r="C11" s="8" t="inlineStr">
        <is>
          <t>Admin đã xác thực; repository trả thuốc id=101.</t>
        </is>
      </c>
      <c r="D11" s="8" t="inlineStr">
        <is>
          <t>1. Gọi POST /admin/medications với đầy đủ thông tin thuốc.</t>
        </is>
      </c>
      <c r="E11" s="8" t="inlineStr">
        <is>
          <t>name=Paracetamol 500mg; source=dav_drugbank; source_ref=VN-12345-20</t>
        </is>
      </c>
      <c r="F11" s="8" t="inlineStr">
        <is>
          <t>Trả 201 và dữ liệu thuốc id=101.</t>
        </is>
      </c>
      <c r="G11" s="8" t="inlineStr">
        <is>
          <t>Trả 201; id, name và source_ref đúng.</t>
        </is>
      </c>
      <c r="H11" s="7" t="inlineStr">
        <is>
          <t>Pass</t>
        </is>
      </c>
      <c r="I11" s="8" t="inlineStr">
        <is>
          <t>AC3 · EP (1,1) · Decision Table (R3) · test_create_medication_success</t>
        </is>
      </c>
      <c r="K11" s="9" t="inlineStr">
        <is>
          <t>source/source_ref</t>
        </is>
      </c>
      <c r="L11" s="10" t="inlineStr">
        <is>
          <t>cùng có giá trị
cùng null</t>
        </is>
      </c>
      <c r="M11" s="10" t="inlineStr">
        <is>
          <t>3
4</t>
        </is>
      </c>
      <c r="N11" s="10" t="inlineStr">
        <is>
          <t>chỉ có source
chỉ có source_ref</t>
        </is>
      </c>
      <c r="O11" s="10" t="inlineStr">
        <is>
          <t>10
11</t>
        </is>
      </c>
      <c r="Q11" s="6" t="inlineStr">
        <is>
          <t>Action</t>
        </is>
      </c>
      <c r="R11" s="5" t="inlineStr">
        <is>
          <t>R1</t>
        </is>
      </c>
      <c r="S11" s="5" t="inlineStr">
        <is>
          <t>R2</t>
        </is>
      </c>
      <c r="T11" s="5" t="inlineStr">
        <is>
          <t>R3</t>
        </is>
      </c>
    </row>
    <row r="12" ht="57.5" customHeight="1">
      <c r="A12" s="7" t="inlineStr">
        <is>
          <t>TC-CATCRUD-BVA-04</t>
        </is>
      </c>
      <c r="B12" s="7" t="inlineStr">
        <is>
          <t>Từ chối tên thuốc rỗng</t>
        </is>
      </c>
      <c r="C12" s="8" t="inlineStr">
        <is>
          <t>Admin đã xác thực.</t>
        </is>
      </c>
      <c r="D12" s="8" t="inlineStr">
        <is>
          <t>1. Gọi POST /admin/medications.
2. Xác minh repository không được khởi tạo.</t>
        </is>
      </c>
      <c r="E12" s="8" t="inlineStr">
        <is>
          <t>name=(blank)</t>
        </is>
      </c>
      <c r="F12" s="8" t="inlineStr">
        <is>
          <t>Trả 422; không ghi repository.</t>
        </is>
      </c>
      <c r="G12" s="8" t="inlineStr">
        <is>
          <t>Trả 422; SqlCatalog không được gọi.</t>
        </is>
      </c>
      <c r="H12" s="7" t="inlineStr">
        <is>
          <t>Pass</t>
        </is>
      </c>
      <c r="I12" s="8" t="inlineStr">
        <is>
          <t>AC4 · EP (2) · BVA (min-1) · test_create_validation_empty_name_rejected</t>
        </is>
      </c>
      <c r="K12" s="9" t="inlineStr">
        <is>
          <t>med_id</t>
        </is>
      </c>
      <c r="L12" s="10" t="inlineStr">
        <is>
          <t>thuốc đang hoạt động</t>
        </is>
      </c>
      <c r="M12" s="10" t="inlineStr">
        <is>
          <t>5</t>
        </is>
      </c>
      <c r="N12" s="10" t="inlineStr">
        <is>
          <t>không tồn tại hoặc đã xóa mềm</t>
        </is>
      </c>
      <c r="O12" s="10" t="inlineStr">
        <is>
          <t>12</t>
        </is>
      </c>
      <c r="Q12" s="10" t="inlineStr">
        <is>
          <t>401</t>
        </is>
      </c>
      <c r="R12" s="11" t="inlineStr">
        <is>
          <t>X</t>
        </is>
      </c>
      <c r="S12" s="11" t="inlineStr"/>
      <c r="T12" s="11" t="inlineStr"/>
    </row>
    <row r="13" ht="41" customHeight="1">
      <c r="A13" s="7" t="inlineStr">
        <is>
          <t>TC-CATCRUD-BVA-05</t>
        </is>
      </c>
      <c r="B13" s="7" t="inlineStr">
        <is>
          <t>Chấp nhận tên thuốc dài một ký tự</t>
        </is>
      </c>
      <c r="C13" s="8" t="inlineStr">
        <is>
          <t>Admin đã xác thực.</t>
        </is>
      </c>
      <c r="D13" s="8" t="inlineStr">
        <is>
          <t>1. Gọi POST /admin/medications.</t>
        </is>
      </c>
      <c r="E13" s="8" t="inlineStr">
        <is>
          <t>name=A</t>
        </is>
      </c>
      <c r="F13" s="8" t="inlineStr">
        <is>
          <t>Trả 201 nếu repository tạo thành công.</t>
        </is>
      </c>
      <c r="G13" s="8" t="inlineStr"/>
      <c r="H13" s="7" t="inlineStr">
        <is>
          <t>Pending</t>
        </is>
      </c>
      <c r="I13" s="8" t="inlineStr">
        <is>
          <t>AC3 · EP (1) · BVA (min) · manual</t>
        </is>
      </c>
      <c r="Q13" s="10" t="inlineStr">
        <is>
          <t>403 Admin only</t>
        </is>
      </c>
      <c r="R13" s="11" t="inlineStr"/>
      <c r="S13" s="11" t="inlineStr">
        <is>
          <t>X</t>
        </is>
      </c>
      <c r="T13" s="11" t="inlineStr"/>
    </row>
    <row r="14" ht="41" customHeight="1">
      <c r="A14" s="7" t="inlineStr">
        <is>
          <t>TC-CATCRUD-BVA-06</t>
        </is>
      </c>
      <c r="B14" s="7" t="inlineStr">
        <is>
          <t>Chấp nhận tên thuốc dài 255 ký tự</t>
        </is>
      </c>
      <c r="C14" s="8" t="inlineStr">
        <is>
          <t>Admin đã xác thực.</t>
        </is>
      </c>
      <c r="D14" s="8" t="inlineStr">
        <is>
          <t>1. Gọi POST /admin/medications.</t>
        </is>
      </c>
      <c r="E14" s="8" t="inlineStr">
        <is>
          <t>name=a*255</t>
        </is>
      </c>
      <c r="F14" s="8" t="inlineStr">
        <is>
          <t>Trả 201 nếu repository tạo thành công.</t>
        </is>
      </c>
      <c r="G14" s="8" t="inlineStr"/>
      <c r="H14" s="7" t="inlineStr">
        <is>
          <t>Pending</t>
        </is>
      </c>
      <c r="I14" s="8" t="inlineStr">
        <is>
          <t>AC3 · EP (1) · BVA (max) · manual</t>
        </is>
      </c>
      <c r="Q14" s="10" t="inlineStr">
        <is>
          <t>Cho phép xử lý CRUD</t>
        </is>
      </c>
      <c r="R14" s="11" t="inlineStr"/>
      <c r="S14" s="11" t="inlineStr"/>
      <c r="T14" s="11" t="inlineStr">
        <is>
          <t>X</t>
        </is>
      </c>
    </row>
    <row r="15" ht="41" customHeight="1">
      <c r="A15" s="7" t="inlineStr">
        <is>
          <t>TC-CATCRUD-BVA-07</t>
        </is>
      </c>
      <c r="B15" s="7" t="inlineStr">
        <is>
          <t>Từ chối tên thuốc dài 256 ký tự</t>
        </is>
      </c>
      <c r="C15" s="8" t="inlineStr">
        <is>
          <t>Admin đã xác thực.</t>
        </is>
      </c>
      <c r="D15" s="8" t="inlineStr">
        <is>
          <t>1. Gọi POST /admin/medications.
2. Xác minh repository không ghi dữ liệu.</t>
        </is>
      </c>
      <c r="E15" s="8" t="inlineStr">
        <is>
          <t>name=a*256</t>
        </is>
      </c>
      <c r="F15" s="8" t="inlineStr">
        <is>
          <t>Trả 422; không ghi repository.</t>
        </is>
      </c>
      <c r="G15" s="8" t="inlineStr"/>
      <c r="H15" s="7" t="inlineStr">
        <is>
          <t>Pending</t>
        </is>
      </c>
      <c r="I15" s="8" t="inlineStr">
        <is>
          <t>AC4 · EP (2) · BVA (max+1) · manual</t>
        </is>
      </c>
    </row>
    <row r="16" ht="57.5" customHeight="1">
      <c r="A16" s="7" t="inlineStr">
        <is>
          <t>TC-CATCRUD-08</t>
        </is>
      </c>
      <c r="B16" s="7" t="inlineStr">
        <is>
          <t>Từ chối payload chỉ có source</t>
        </is>
      </c>
      <c r="C16" s="8" t="inlineStr">
        <is>
          <t>Admin đã xác thực.</t>
        </is>
      </c>
      <c r="D16" s="8" t="inlineStr">
        <is>
          <t>1. Gọi POST /admin/medications.
2. Xác minh repository không được khởi tạo.</t>
        </is>
      </c>
      <c r="E16" s="8" t="inlineStr">
        <is>
          <t>name=Paracetamol 500mg; source=dav_drugbank; source_ref=null</t>
        </is>
      </c>
      <c r="F16" s="8" t="inlineStr">
        <is>
          <t>Trả 422; không ghi repository.</t>
        </is>
      </c>
      <c r="G16" s="8" t="inlineStr">
        <is>
          <t>Trả 422; SqlCatalog không được gọi.</t>
        </is>
      </c>
      <c r="H16" s="7" t="inlineStr">
        <is>
          <t>Pass</t>
        </is>
      </c>
      <c r="I16" s="8" t="inlineStr">
        <is>
          <t>AC4 · EP (3) · test_create_validation_source_pair_enforced</t>
        </is>
      </c>
    </row>
    <row r="17" ht="41" customHeight="1">
      <c r="A17" s="7" t="inlineStr">
        <is>
          <t>TC-CATCRUD-09</t>
        </is>
      </c>
      <c r="B17" s="7" t="inlineStr">
        <is>
          <t>Từ chối payload chỉ có source_ref</t>
        </is>
      </c>
      <c r="C17" s="8" t="inlineStr">
        <is>
          <t>Admin đã xác thực.</t>
        </is>
      </c>
      <c r="D17" s="8" t="inlineStr">
        <is>
          <t>1. Gọi POST /admin/medications.
2. Xác minh repository không được khởi tạo.</t>
        </is>
      </c>
      <c r="E17" s="8" t="inlineStr">
        <is>
          <t>name=Paracetamol 500mg; source=null; source_ref=REF-001</t>
        </is>
      </c>
      <c r="F17" s="8" t="inlineStr">
        <is>
          <t>Trả 422; không ghi repository.</t>
        </is>
      </c>
      <c r="G17" s="8" t="inlineStr">
        <is>
          <t>Trả 422; SqlCatalog không được gọi.</t>
        </is>
      </c>
      <c r="H17" s="7" t="inlineStr">
        <is>
          <t>Pass</t>
        </is>
      </c>
      <c r="I17" s="8" t="inlineStr">
        <is>
          <t>AC4 · EP (4) · test_create_validation_source_pair_enforced</t>
        </is>
      </c>
    </row>
    <row r="18" ht="57.5" customHeight="1">
      <c r="A18" s="7" t="inlineStr">
        <is>
          <t>TC-CATCRUD-10</t>
        </is>
      </c>
      <c r="B18" s="7" t="inlineStr">
        <is>
          <t>Liệt kê thuốc theo từ khóa và phân trang</t>
        </is>
      </c>
      <c r="C18" s="8" t="inlineStr">
        <is>
          <t>Admin đã xác thực; repository có một thuốc Amlodipin đang hoạt động.</t>
        </is>
      </c>
      <c r="D18" s="8" t="inlineStr">
        <is>
          <t>1. Gọi GET /admin/medications?q=amlo&amp;skip=0&amp;limit=10.
2. Đối chiếu tham số repository.</t>
        </is>
      </c>
      <c r="E18" s="8" t="inlineStr">
        <is>
          <t>q=amlo; skip=0; limit=10</t>
        </is>
      </c>
      <c r="F18" s="8" t="inlineStr">
        <is>
          <t>Trả 200, total=1, đúng item; repository nhận amlo, 0, 10.</t>
        </is>
      </c>
      <c r="G18" s="8" t="inlineStr">
        <is>
          <t>Trả đúng dữ liệu và repository nhận đúng tham số.</t>
        </is>
      </c>
      <c r="H18" s="7" t="inlineStr">
        <is>
          <t>Pass</t>
        </is>
      </c>
      <c r="I18" s="8" t="inlineStr">
        <is>
          <t>AC5 · EP (1) · test_list_medications_pagination_and_query</t>
        </is>
      </c>
    </row>
    <row r="19" ht="41" customHeight="1">
      <c r="A19" s="7" t="inlineStr">
        <is>
          <t>TC-CATCRUD-BVA-11</t>
        </is>
      </c>
      <c r="B19" s="7" t="inlineStr">
        <is>
          <t>Từ chối limit bằng 0</t>
        </is>
      </c>
      <c r="C19" s="8" t="inlineStr">
        <is>
          <t>Admin đã xác thực.</t>
        </is>
      </c>
      <c r="D19" s="8" t="inlineStr">
        <is>
          <t>1. Gọi GET /admin/medications?limit=0.</t>
        </is>
      </c>
      <c r="E19" s="8" t="inlineStr">
        <is>
          <t>limit=0</t>
        </is>
      </c>
      <c r="F19" s="8" t="inlineStr">
        <is>
          <t>Trả 422.</t>
        </is>
      </c>
      <c r="G19" s="8" t="inlineStr"/>
      <c r="H19" s="7" t="inlineStr">
        <is>
          <t>Pending</t>
        </is>
      </c>
      <c r="I19" s="8" t="inlineStr">
        <is>
          <t>AC5 · BVA (min-1) · manual</t>
        </is>
      </c>
    </row>
    <row r="20" ht="41" customHeight="1">
      <c r="A20" s="7" t="inlineStr">
        <is>
          <t>TC-CATCRUD-BVA-12</t>
        </is>
      </c>
      <c r="B20" s="7" t="inlineStr">
        <is>
          <t>Chấp nhận limit bằng 1</t>
        </is>
      </c>
      <c r="C20" s="8" t="inlineStr">
        <is>
          <t>Admin đã xác thực.</t>
        </is>
      </c>
      <c r="D20" s="8" t="inlineStr">
        <is>
          <t>1. Gọi GET /admin/medications?limit=1.</t>
        </is>
      </c>
      <c r="E20" s="8" t="inlineStr">
        <is>
          <t>limit=1</t>
        </is>
      </c>
      <c r="F20" s="8" t="inlineStr">
        <is>
          <t>Trả 200 và tối đa một item.</t>
        </is>
      </c>
      <c r="G20" s="8" t="inlineStr"/>
      <c r="H20" s="7" t="inlineStr">
        <is>
          <t>Pending</t>
        </is>
      </c>
      <c r="I20" s="8" t="inlineStr">
        <is>
          <t>AC5 · BVA (min) · manual</t>
        </is>
      </c>
    </row>
    <row r="21" ht="41" customHeight="1">
      <c r="A21" s="7" t="inlineStr">
        <is>
          <t>TC-CATCRUD-BVA-13</t>
        </is>
      </c>
      <c r="B21" s="7" t="inlineStr">
        <is>
          <t>Chấp nhận limit bằng 100</t>
        </is>
      </c>
      <c r="C21" s="8" t="inlineStr">
        <is>
          <t>Admin đã xác thực.</t>
        </is>
      </c>
      <c r="D21" s="8" t="inlineStr">
        <is>
          <t>1. Gọi GET /admin/medications?limit=100.</t>
        </is>
      </c>
      <c r="E21" s="8" t="inlineStr">
        <is>
          <t>limit=100</t>
        </is>
      </c>
      <c r="F21" s="8" t="inlineStr">
        <is>
          <t>Trả 200 và tối đa 100 item.</t>
        </is>
      </c>
      <c r="G21" s="8" t="inlineStr"/>
      <c r="H21" s="7" t="inlineStr">
        <is>
          <t>Pending</t>
        </is>
      </c>
      <c r="I21" s="8" t="inlineStr">
        <is>
          <t>AC5 · BVA (max) · manual</t>
        </is>
      </c>
    </row>
    <row r="22" ht="41" customHeight="1">
      <c r="A22" s="7" t="inlineStr">
        <is>
          <t>TC-CATCRUD-BVA-14</t>
        </is>
      </c>
      <c r="B22" s="7" t="inlineStr">
        <is>
          <t>Từ chối limit bằng 101</t>
        </is>
      </c>
      <c r="C22" s="8" t="inlineStr">
        <is>
          <t>Admin đã xác thực.</t>
        </is>
      </c>
      <c r="D22" s="8" t="inlineStr">
        <is>
          <t>1. Gọi GET /admin/medications?limit=101.</t>
        </is>
      </c>
      <c r="E22" s="8" t="inlineStr">
        <is>
          <t>limit=101</t>
        </is>
      </c>
      <c r="F22" s="8" t="inlineStr">
        <is>
          <t>Trả 422.</t>
        </is>
      </c>
      <c r="G22" s="8" t="inlineStr"/>
      <c r="H22" s="7" t="inlineStr">
        <is>
          <t>Pending</t>
        </is>
      </c>
      <c r="I22" s="8" t="inlineStr">
        <is>
          <t>AC5 · BVA (max+1) · manual</t>
        </is>
      </c>
    </row>
    <row r="23" ht="41" customHeight="1">
      <c r="A23" s="7" t="inlineStr">
        <is>
          <t>TC-CATCRUD-15</t>
        </is>
      </c>
      <c r="B23" s="7" t="inlineStr">
        <is>
          <t>Lấy chi tiết thuốc đang hoạt động</t>
        </is>
      </c>
      <c r="C23" s="8" t="inlineStr">
        <is>
          <t>Admin đã xác thực; thuốc id=42 đang hoạt động.</t>
        </is>
      </c>
      <c r="D23" s="8" t="inlineStr">
        <is>
          <t>1. Gọi GET /admin/medications/42.</t>
        </is>
      </c>
      <c r="E23" s="8" t="inlineStr">
        <is>
          <t>med_id=42</t>
        </is>
      </c>
      <c r="F23" s="8" t="inlineStr">
        <is>
          <t>Trả 200 với thuốc id=42.</t>
        </is>
      </c>
      <c r="G23" s="8" t="inlineStr">
        <is>
          <t>Trả 200 với Berberin id=42.</t>
        </is>
      </c>
      <c r="H23" s="7" t="inlineStr">
        <is>
          <t>Pass</t>
        </is>
      </c>
      <c r="I23" s="8" t="inlineStr">
        <is>
          <t>AC6 · EP (1) · test_get_medication_detail</t>
        </is>
      </c>
    </row>
    <row r="24" ht="41" customHeight="1">
      <c r="A24" s="7" t="inlineStr">
        <is>
          <t>TC-CATCRUD-16</t>
        </is>
      </c>
      <c r="B24" s="7" t="inlineStr">
        <is>
          <t>Trả 404 khi lấy thuốc không tồn tại</t>
        </is>
      </c>
      <c r="C24" s="8" t="inlineStr">
        <is>
          <t>Admin đã xác thực; repository không tìm thấy thuốc.</t>
        </is>
      </c>
      <c r="D24" s="8" t="inlineStr">
        <is>
          <t>1. Gọi GET /admin/medications/999.</t>
        </is>
      </c>
      <c r="E24" s="8" t="inlineStr">
        <is>
          <t>med_id=999</t>
        </is>
      </c>
      <c r="F24" s="8" t="inlineStr">
        <is>
          <t>Trả 404 với Medication not found.</t>
        </is>
      </c>
      <c r="G24" s="8" t="inlineStr">
        <is>
          <t>Trả 404 với đúng detail.</t>
        </is>
      </c>
      <c r="H24" s="7" t="inlineStr">
        <is>
          <t>Pass</t>
        </is>
      </c>
      <c r="I24" s="8" t="inlineStr">
        <is>
          <t>AC6 · EP (2) · test_get_medication_not_found</t>
        </is>
      </c>
    </row>
    <row r="25" ht="41" customHeight="1">
      <c r="A25" s="7" t="inlineStr">
        <is>
          <t>TC-CATCRUD-17</t>
        </is>
      </c>
      <c r="B25" s="7" t="inlineStr">
        <is>
          <t>Cập nhật thuốc đang hoạt động</t>
        </is>
      </c>
      <c r="C25" s="8" t="inlineStr">
        <is>
          <t>Admin đã xác thực; thuốc id=42 đang hoạt động.</t>
        </is>
      </c>
      <c r="D25" s="8" t="inlineStr">
        <is>
          <t>1. Gọi PATCH /admin/medications/42.</t>
        </is>
      </c>
      <c r="E25" s="8" t="inlineStr">
        <is>
          <t>name=Berberin 100mg</t>
        </is>
      </c>
      <c r="F25" s="8" t="inlineStr">
        <is>
          <t>Trả 200 với tên đã cập nhật.</t>
        </is>
      </c>
      <c r="G25" s="8" t="inlineStr">
        <is>
          <t>Trả 200 với name=Berberin 100mg.</t>
        </is>
      </c>
      <c r="H25" s="7" t="inlineStr">
        <is>
          <t>Pass</t>
        </is>
      </c>
      <c r="I25" s="8" t="inlineStr">
        <is>
          <t>AC6 · EP (1) · test_update_medication_success</t>
        </is>
      </c>
    </row>
    <row r="26" ht="41" customHeight="1">
      <c r="A26" s="7" t="inlineStr">
        <is>
          <t>TC-CATCRUD-18</t>
        </is>
      </c>
      <c r="B26" s="7" t="inlineStr">
        <is>
          <t>Trả 404 khi cập nhật thuốc không tồn tại</t>
        </is>
      </c>
      <c r="C26" s="8" t="inlineStr">
        <is>
          <t>Admin đã xác thực; repository không tìm thấy thuốc.</t>
        </is>
      </c>
      <c r="D26" s="8" t="inlineStr">
        <is>
          <t>1. Gọi PATCH /admin/medications/999.</t>
        </is>
      </c>
      <c r="E26" s="8" t="inlineStr">
        <is>
          <t>name=Unknown</t>
        </is>
      </c>
      <c r="F26" s="8" t="inlineStr">
        <is>
          <t>Trả 404 với Medication not found.</t>
        </is>
      </c>
      <c r="G26" s="8" t="inlineStr">
        <is>
          <t>Trả 404 với đúng detail.</t>
        </is>
      </c>
      <c r="H26" s="7" t="inlineStr">
        <is>
          <t>Pass</t>
        </is>
      </c>
      <c r="I26" s="8" t="inlineStr">
        <is>
          <t>AC6 · EP (2) · test_update_medication_not_found</t>
        </is>
      </c>
    </row>
    <row r="27" ht="41" customHeight="1">
      <c r="A27" s="7" t="inlineStr">
        <is>
          <t>TC-CATCRUD-19</t>
        </is>
      </c>
      <c r="B27" s="7" t="inlineStr">
        <is>
          <t>Xóa mềm thuốc đang hoạt động</t>
        </is>
      </c>
      <c r="C27" s="8" t="inlineStr">
        <is>
          <t>Admin đã xác thực; thuốc id=42 đang hoạt động.</t>
        </is>
      </c>
      <c r="D27" s="8" t="inlineStr">
        <is>
          <t>1. Gọi DELETE /admin/medications/42.
2. Đối chiếu lời gọi repository.</t>
        </is>
      </c>
      <c r="E27" s="8" t="inlineStr">
        <is>
          <t>med_id=42</t>
        </is>
      </c>
      <c r="F27" s="8" t="inlineStr">
        <is>
          <t>Trả 204 không body; repository soft_delete id=42.</t>
        </is>
      </c>
      <c r="G27" s="8" t="inlineStr">
        <is>
          <t>Trả 204 không body; repository nhận id=42.</t>
        </is>
      </c>
      <c r="H27" s="7" t="inlineStr">
        <is>
          <t>Pass</t>
        </is>
      </c>
      <c r="I27" s="8" t="inlineStr">
        <is>
          <t>AC7 · EP (1) · test_delete_medication_soft_delete</t>
        </is>
      </c>
    </row>
    <row r="28" ht="57.5" customHeight="1">
      <c r="A28" s="7" t="inlineStr">
        <is>
          <t>TC-CATCRUD-20</t>
        </is>
      </c>
      <c r="B28" s="7" t="inlineStr">
        <is>
          <t>Trả 404 khi xóa thuốc không tồn tại hoặc đã xóa mềm</t>
        </is>
      </c>
      <c r="C28" s="8" t="inlineStr">
        <is>
          <t>Admin đã xác thực; repository báo không xóa được thuốc id=42.</t>
        </is>
      </c>
      <c r="D28" s="8" t="inlineStr">
        <is>
          <t>1. Gọi DELETE /admin/medications/42.</t>
        </is>
      </c>
      <c r="E28" s="8" t="inlineStr">
        <is>
          <t>med_id=42</t>
        </is>
      </c>
      <c r="F28" s="8" t="inlineStr">
        <is>
          <t>Trả 404 với Medication not found.</t>
        </is>
      </c>
      <c r="G28" s="8" t="inlineStr">
        <is>
          <t>Trả 404 với đúng detail.</t>
        </is>
      </c>
      <c r="H28" s="7" t="inlineStr">
        <is>
          <t>Pass</t>
        </is>
      </c>
      <c r="I28" s="8" t="inlineStr">
        <is>
          <t>AC7 · EP (2) · test_delete_medication_soft_delete</t>
        </is>
      </c>
    </row>
    <row r="29" ht="41" customHeight="1">
      <c r="A29" s="7" t="inlineStr">
        <is>
          <t>TC-CATCRUD-21</t>
        </is>
      </c>
      <c r="B29" s="7" t="inlineStr">
        <is>
          <t>Chạy toàn bộ unit và architecture test backend</t>
        </is>
      </c>
      <c r="C29" s="8" t="inlineStr">
        <is>
          <t>Backend ở nhánh feat/2.13 với dependency đã cài.</t>
        </is>
      </c>
      <c r="D29" s="8" t="inlineStr">
        <is>
          <t>1. Chạy pytest tests/unit tests/architecture.</t>
        </is>
      </c>
      <c r="E29" s="8" t="inlineStr">
        <is>
          <t>380 tests</t>
        </is>
      </c>
      <c r="F29" s="8" t="inlineStr">
        <is>
          <t>Tất cả test pass.</t>
        </is>
      </c>
      <c r="G29" s="8" t="inlineStr">
        <is>
          <t>380 pass; catalog 19/19 và architecture 11/11 pass.</t>
        </is>
      </c>
      <c r="H29" s="7" t="inlineStr">
        <is>
          <t>Pass</t>
        </is>
      </c>
      <c r="I29" s="8" t="inlineStr">
        <is>
          <t>AC8 · Error Guessing · pytest tests/unit tests/architecture</t>
        </is>
      </c>
    </row>
    <row r="30"/>
    <row r="31"/>
    <row r="32">
      <c r="G32" s="12" t="inlineStr">
        <is>
          <t>Pass</t>
        </is>
      </c>
      <c r="H32" s="13">
        <f>COUNTIF(H9:H29,"Pass")</f>
        <v/>
      </c>
    </row>
    <row r="33">
      <c r="G33" s="12" t="inlineStr">
        <is>
          <t>Fail</t>
        </is>
      </c>
      <c r="H33" s="13">
        <f>COUNTIF(H9:H29,"Fail")</f>
        <v/>
      </c>
    </row>
    <row r="34">
      <c r="G34" s="12" t="inlineStr">
        <is>
          <t>Pending</t>
        </is>
      </c>
      <c r="H34" s="13">
        <f>COUNTIF(H9:H29,"Pending")</f>
        <v/>
      </c>
    </row>
    <row r="35">
      <c r="G35" s="12" t="inlineStr">
        <is>
          <t>Total</t>
        </is>
      </c>
      <c r="H35" s="13">
        <f>SUM(H32:H34)</f>
        <v/>
      </c>
    </row>
  </sheetData>
  <autoFilter ref="A8:I29"/>
  <conditionalFormatting sqref="H9:H29">
    <cfRule type="cellIs" priority="1" operator="equal" dxfId="0">
      <formula>"Fail"</formula>
    </cfRule>
  </conditionalFormatting>
  <dataValidations count="1">
    <dataValidation sqref="H9:H29" showDropDown="0" showInputMessage="0" showErrorMessage="0" allowBlank="0" type="list">
      <formula1>"Pass,Fail,Pending"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4" customWidth="1" min="4" max="4"/>
    <col width="24" customWidth="1" min="5" max="5"/>
    <col width="24" customWidth="1" min="6" max="6"/>
    <col width="14" customWidth="1" min="7" max="7"/>
    <col width="40" customWidth="1" min="8" max="8"/>
    <col width="45" customWidth="1" min="9" max="9"/>
  </cols>
  <sheetData>
    <row r="1">
      <c r="A1" s="14" t="inlineStr">
        <is>
          <t>TEST REPORT</t>
        </is>
      </c>
    </row>
    <row r="2">
      <c r="C2" s="15" t="inlineStr">
        <is>
          <t>phucnguyenngoc</t>
        </is>
      </c>
      <c r="D2" s="15" t="inlineStr">
        <is>
          <t>Total</t>
        </is>
      </c>
    </row>
    <row r="3">
      <c r="A3" s="15" t="inlineStr">
        <is>
          <t>Executed</t>
        </is>
      </c>
      <c r="B3" s="9" t="inlineStr">
        <is>
          <t>Passed</t>
        </is>
      </c>
      <c r="C3" s="11">
        <f>'Catalog CRUD'!$H$32</f>
        <v/>
      </c>
      <c r="D3" s="15">
        <f>SUM(C3:C3)</f>
        <v/>
      </c>
    </row>
    <row r="4">
      <c r="A4" s="16" t="n"/>
      <c r="B4" s="9" t="inlineStr">
        <is>
          <t>Failed</t>
        </is>
      </c>
      <c r="C4" s="11">
        <f>'Catalog CRUD'!$H$33</f>
        <v/>
      </c>
      <c r="D4" s="15">
        <f>SUM(C4:C4)</f>
        <v/>
      </c>
    </row>
    <row r="5">
      <c r="A5" s="17" t="n"/>
      <c r="B5" s="9" t="inlineStr">
        <is>
          <t>(Total) Test executed (Passed + Failed)</t>
        </is>
      </c>
      <c r="C5" s="11">
        <f>C3+C4</f>
        <v/>
      </c>
      <c r="D5" s="15">
        <f>SUM(C5:C5)</f>
        <v/>
      </c>
    </row>
    <row r="6">
      <c r="A6" s="15" t="inlineStr">
        <is>
          <t>Pending</t>
        </is>
      </c>
      <c r="B6" s="10" t="inlineStr"/>
      <c r="C6" s="11">
        <f>'Catalog CRUD'!$H$34</f>
        <v/>
      </c>
      <c r="D6" s="15">
        <f>SUM(C6:C6)</f>
        <v/>
      </c>
    </row>
    <row r="7">
      <c r="A7" s="15" t="inlineStr">
        <is>
          <t>(Sub-total) Test Planned</t>
        </is>
      </c>
      <c r="B7" s="10" t="inlineStr"/>
      <c r="C7" s="11">
        <f>C5+C6</f>
        <v/>
      </c>
      <c r="D7" s="15">
        <f>SUM(C7:C7)</f>
        <v/>
      </c>
    </row>
    <row r="10">
      <c r="A10" s="5" t="inlineStr">
        <is>
          <t>Function</t>
        </is>
      </c>
      <c r="B10" s="5" t="inlineStr">
        <is>
          <t>Description</t>
        </is>
      </c>
      <c r="C10" s="5" t="inlineStr">
        <is>
          <t>Sheet Name</t>
        </is>
      </c>
      <c r="D10" s="5" t="inlineStr">
        <is>
          <t>% TCs Executed</t>
        </is>
      </c>
      <c r="E10" s="5" t="inlineStr">
        <is>
          <t>% TCs Passed</t>
        </is>
      </c>
      <c r="F10" s="5" t="inlineStr">
        <is>
          <t>% TCs Failed</t>
        </is>
      </c>
      <c r="G10" s="5" t="inlineStr">
        <is>
          <t>Priority</t>
        </is>
      </c>
      <c r="H10" s="5" t="inlineStr">
        <is>
          <t>Remarks</t>
        </is>
      </c>
      <c r="I10" s="5" t="inlineStr">
        <is>
          <t>Done by</t>
        </is>
      </c>
    </row>
    <row r="11" ht="74" customHeight="1">
      <c r="A11" s="11" t="inlineStr">
        <is>
          <t>Admin Medication Catalog CRUD</t>
        </is>
      </c>
      <c r="B11" s="10" t="inlineStr">
        <is>
          <t>Kiểm thử CRUD, phân trang, validation và phân quyền quản trị danh mục thuốc.</t>
        </is>
      </c>
      <c r="C11" s="11" t="inlineStr">
        <is>
          <t>Catalog CRUD</t>
        </is>
      </c>
      <c r="D11" s="18">
        <f>IFERROR(('Catalog CRUD'!$H$35-'Catalog CRUD'!$H$34)/'Catalog CRUD'!$H$35,0)</f>
        <v/>
      </c>
      <c r="E11" s="18">
        <f>IFERROR('Catalog CRUD'!$H$32/'Catalog CRUD'!$H$35,0)</f>
        <v/>
      </c>
      <c r="F11" s="18">
        <f>IFERROR('Catalog CRUD'!$H$33/'Catalog CRUD'!$H$35,0)</f>
        <v/>
      </c>
      <c r="G11" s="11" t="inlineStr">
        <is>
          <t>Medium</t>
        </is>
      </c>
      <c r="H11" s="10" t="inlineStr">
        <is>
          <t>19 test catalog pass; toàn bộ 380 unit và architecture test pass.</t>
        </is>
      </c>
      <c r="I11" s="11" t="inlineStr">
        <is>
          <t>phucnguyenngoc</t>
        </is>
      </c>
    </row>
    <row r="34">
      <c r="A34" s="19" t="inlineStr">
        <is>
          <t>Bug Report</t>
        </is>
      </c>
    </row>
    <row r="35">
      <c r="A35" s="20" t="inlineStr">
        <is>
          <t>Bug ID</t>
        </is>
      </c>
      <c r="B35" s="20" t="inlineStr">
        <is>
          <t>Description</t>
        </is>
      </c>
      <c r="C35" s="20" t="inlineStr">
        <is>
          <t>Steps to Reproduce</t>
        </is>
      </c>
      <c r="D35" s="20" t="inlineStr">
        <is>
          <t>Input Data</t>
        </is>
      </c>
      <c r="E35" s="20" t="inlineStr">
        <is>
          <t>Expected Result</t>
        </is>
      </c>
      <c r="F35" s="20" t="inlineStr">
        <is>
          <t>Actual Result</t>
        </is>
      </c>
      <c r="G35" s="20" t="inlineStr">
        <is>
          <t>Severity</t>
        </is>
      </c>
      <c r="H35" s="20" t="inlineStr">
        <is>
          <t>Name of Tester</t>
        </is>
      </c>
      <c r="I35" s="20" t="inlineStr">
        <is>
          <t>Logs</t>
        </is>
      </c>
    </row>
  </sheetData>
  <mergeCells count="2">
    <mergeCell ref="A1:G1"/>
    <mergeCell ref="A3:A5"/>
  </mergeCells>
  <conditionalFormatting sqref="F11">
    <cfRule type="cellIs" priority="1" operator="greaterThan" dxfId="0">
      <formula>0.2</formula>
    </cfRule>
  </conditionalFormatting>
  <conditionalFormatting sqref="G11">
    <cfRule type="expression" priority="2" dxfId="0">
      <formula>OR(G11="Critical",G11="High")</formula>
    </cfRule>
  </conditionalFormatting>
  <conditionalFormatting sqref="G36">
    <cfRule type="cellIs" priority="3" operator="equal" dxfId="1">
      <formula>"Critical"</formula>
    </cfRule>
    <cfRule type="cellIs" priority="4" operator="equal" dxfId="2">
      <formula>"High"</formula>
    </cfRule>
    <cfRule type="cellIs" priority="5" operator="equal" dxfId="3">
      <formula>"Medium"</formula>
    </cfRule>
  </conditionalFormatting>
  <dataValidations count="2">
    <dataValidation sqref="G11" showDropDown="0" showInputMessage="0" showErrorMessage="0" allowBlank="1" type="list">
      <formula1>"Critical,High,Medium,Low"</formula1>
    </dataValidation>
    <dataValidation sqref="G36" showDropDown="0" showInputMessage="0" showErrorMessage="0" allowBlank="1" type="list">
      <formula1>"Critical,High,Medium,Low"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2026-10-08T16:02:12Z</dcterms:created>
  <dcterms:modified xmlns:dcterms="http://purl.org/dc/terms/" xmlns:xsi="http://www.w3.org/2001/XMLSchema-instance" xsi:type="dcterms:W3CDTF">2026-10-08T16:02:12Z</dcterms:modified>
</cp:coreProperties>
</file>