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ao diện Admin Web" sheetId="1" state="visible" r:id="rId1"/>
    <sheet name="Report" sheetId="2" state="visible" r:id="rId2"/>
  </sheets>
  <definedNames>
    <definedName name="_xlnm._FilterDatabase" localSheetId="0" hidden="1">'Giao diện Admin Web'!$A$8:$I$35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11"/>
    </font>
    <font>
      <name val="Times New Roman"/>
      <sz val="11"/>
    </font>
    <font>
      <name val="Times New Roman"/>
      <b val="1"/>
      <sz val="18"/>
    </font>
    <font>
      <name val="Times New Roman"/>
      <b val="1"/>
      <sz val="14"/>
    </font>
  </fonts>
  <fills count="5">
    <fill>
      <patternFill/>
    </fill>
    <fill>
      <patternFill patternType="gray125"/>
    </fill>
    <fill>
      <patternFill patternType="solid">
        <fgColor rgb="006AA84F"/>
      </patternFill>
    </fill>
    <fill>
      <patternFill patternType="solid">
        <fgColor rgb="00A8D08D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9" fontId="2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9C0006"/>
      </font>
      <fill>
        <patternFill patternType="solid">
          <bgColor rgb="00FFC7CE"/>
        </patternFill>
      </fill>
    </dxf>
    <dxf>
      <font>
        <b val="1"/>
        <color rgb="00FFFFFF"/>
      </font>
      <fill>
        <patternFill patternType="solid">
          <bgColor rgb="00C00000"/>
        </patternFill>
      </fill>
    </dxf>
    <dxf>
      <font>
        <b val="1"/>
        <color rgb="00FFFFFF"/>
      </font>
      <fill>
        <patternFill patternType="solid">
          <bgColor rgb="00FF0000"/>
        </patternFill>
      </fill>
    </dxf>
    <dxf>
      <font>
        <b val="1"/>
        <color rgb="00000000"/>
      </font>
      <fill>
        <patternFill patternType="solid">
          <bgColor rgb="00FFE5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Kết quả theo chức năng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'Report'!D10</f>
            </strRef>
          </tx>
          <spPr>
            <a:ln>
              <a:prstDash val="solid"/>
            </a:ln>
          </spPr>
          <cat>
            <numRef>
              <f>'Report'!$A$11</f>
            </numRef>
          </cat>
          <val>
            <numRef>
              <f>'Report'!$D$11</f>
            </numRef>
          </val>
        </ser>
        <ser>
          <idx val="1"/>
          <order val="1"/>
          <tx>
            <strRef>
              <f>'Report'!E10</f>
            </strRef>
          </tx>
          <spPr>
            <a:ln>
              <a:prstDash val="solid"/>
            </a:ln>
          </spPr>
          <cat>
            <numRef>
              <f>'Report'!$A$11</f>
            </numRef>
          </cat>
          <val>
            <numRef>
              <f>'Report'!$E$11</f>
            </numRef>
          </val>
        </ser>
        <ser>
          <idx val="2"/>
          <order val="2"/>
          <tx>
            <strRef>
              <f>'Report'!F10</f>
            </strRef>
          </tx>
          <spPr>
            <a:ln>
              <a:prstDash val="solid"/>
            </a:ln>
          </spPr>
          <cat>
            <numRef>
              <f>'Report'!$A$11</f>
            </numRef>
          </cat>
          <val>
            <numRef>
              <f>'Report'!$F$11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Tổng Pass / Fail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'Report'!$B$3:$B$4</f>
            </numRef>
          </cat>
          <val>
            <numRef>
              <f>'Report'!$D$3:$D$4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13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2" customWidth="1" min="3" max="3"/>
    <col width="50" customWidth="1" min="4" max="4"/>
    <col width="32" customWidth="1" min="5" max="5"/>
    <col width="45" customWidth="1" min="6" max="6"/>
    <col width="45" customWidth="1" min="7" max="7"/>
    <col width="12" customWidth="1" min="8" max="8"/>
    <col width="34" customWidth="1" min="9" max="9"/>
    <col width="22" customWidth="1" min="11" max="11"/>
    <col width="34" customWidth="1" min="12" max="12"/>
    <col width="7" customWidth="1" min="13" max="13"/>
    <col width="34" customWidth="1" min="14" max="14"/>
    <col width="7" customWidth="1" min="15" max="15"/>
    <col width="34" customWidth="1" min="17" max="17"/>
    <col width="8" customWidth="1" min="18" max="18"/>
    <col width="8" customWidth="1" min="19" max="19"/>
  </cols>
  <sheetData>
    <row r="1">
      <c r="A1" s="1" t="inlineStr">
        <is>
          <t>Project Name</t>
        </is>
      </c>
      <c r="B1" s="2" t="inlineStr">
        <is>
          <t>DrugTime</t>
        </is>
      </c>
    </row>
    <row r="2">
      <c r="A2" s="1" t="inlineStr">
        <is>
          <t>Module Name</t>
        </is>
      </c>
      <c r="B2" s="2" t="inlineStr">
        <is>
          <t>Giao diện Admin Web (theme dashboard) (ADMINUI)</t>
        </is>
      </c>
    </row>
    <row r="3">
      <c r="A3" s="1" t="inlineStr">
        <is>
          <t>Created By</t>
        </is>
      </c>
      <c r="B3" s="2" t="inlineStr">
        <is>
          <t>Ngọc Việt</t>
        </is>
      </c>
    </row>
    <row r="4">
      <c r="A4" s="1" t="inlineStr">
        <is>
          <t>Creation Date</t>
        </is>
      </c>
      <c r="B4" s="3" t="n">
        <v>46321</v>
      </c>
    </row>
    <row r="5">
      <c r="A5" s="1" t="inlineStr">
        <is>
          <t>Reviewed By</t>
        </is>
      </c>
      <c r="B5" s="2" t="inlineStr"/>
    </row>
    <row r="6">
      <c r="A6" s="1" t="inlineStr">
        <is>
          <t>Reviewed Date</t>
        </is>
      </c>
      <c r="B6" s="2" t="n"/>
    </row>
    <row r="7">
      <c r="K7" s="4" t="inlineStr">
        <is>
          <t>Equivalence Partitioning</t>
        </is>
      </c>
      <c r="Q7" s="4" t="inlineStr">
        <is>
          <t>Trang nào nhận theme mới</t>
        </is>
      </c>
    </row>
    <row r="8">
      <c r="A8" s="1" t="inlineStr">
        <is>
          <t>Test Case ID</t>
        </is>
      </c>
      <c r="B8" s="1" t="inlineStr">
        <is>
          <t>Description</t>
        </is>
      </c>
      <c r="C8" s="1" t="inlineStr">
        <is>
          <t>Precondition</t>
        </is>
      </c>
      <c r="D8" s="1" t="inlineStr">
        <is>
          <t>Test Steps</t>
        </is>
      </c>
      <c r="E8" s="1" t="inlineStr">
        <is>
          <t>Test Data</t>
        </is>
      </c>
      <c r="F8" s="1" t="inlineStr">
        <is>
          <t>Expected Result</t>
        </is>
      </c>
      <c r="G8" s="1" t="inlineStr">
        <is>
          <t>Actual Result</t>
        </is>
      </c>
      <c r="H8" s="1" t="inlineStr">
        <is>
          <t>Status</t>
        </is>
      </c>
      <c r="I8" s="1" t="inlineStr">
        <is>
          <t>Comments(if any)</t>
        </is>
      </c>
      <c r="K8" s="5" t="inlineStr">
        <is>
          <t>Field</t>
        </is>
      </c>
      <c r="L8" s="5" t="inlineStr">
        <is>
          <t>Valid</t>
        </is>
      </c>
      <c r="M8" s="5" t="inlineStr">
        <is>
          <t>Num</t>
        </is>
      </c>
      <c r="N8" s="5" t="inlineStr">
        <is>
          <t>Invalid</t>
        </is>
      </c>
      <c r="O8" s="5" t="inlineStr">
        <is>
          <t>Num</t>
        </is>
      </c>
      <c r="Q8" s="6" t="inlineStr">
        <is>
          <t>Rule</t>
        </is>
      </c>
      <c r="R8" s="5" t="inlineStr">
        <is>
          <t>R1</t>
        </is>
      </c>
      <c r="S8" s="5" t="inlineStr">
        <is>
          <t>R2</t>
        </is>
      </c>
    </row>
    <row r="9" ht="107" customHeight="1">
      <c r="A9" s="7" t="inlineStr">
        <is>
          <t>TC-ADMINUI-01</t>
        </is>
      </c>
      <c r="B9" s="7" t="inlineStr">
        <is>
          <t>Hiển thị trang Tổng quan với theme mới ở desktop</t>
        </is>
      </c>
      <c r="C9" s="8" t="inlineStr">
        <is>
          <t>Đã đăng nhập admin; viewport 1440×900</t>
        </is>
      </c>
      <c r="D9" s="8" t="inlineStr">
        <is>
          <t>1. Mở /dashboard
2. Quan sát sidebar, topbar, card KPI, panel, bảng workers</t>
        </is>
      </c>
      <c r="E9" s="8" t="inlineStr">
        <is>
          <t>Viewport 1440×900</t>
        </is>
      </c>
      <c r="F9" s="8" t="inlineStr">
        <is>
          <t>Sidebar gradient xanh sát mép trái, bo cong cạnh phải, mục "Tổng quan dữ liệu" là pill trắng; nội dung tràn màn hình trên nền xanh nhạt; card trắng bóng mềm; KPI đầu nền gradient chữ trắng; font Open Sans; không cuộn ngang</t>
        </is>
      </c>
      <c r="G9" s="8" t="inlineStr">
        <is>
          <t>Đúng như mong đợi; overflowX ≤ 0; 0 lỗi console (impl-dashboard-1440.png)</t>
        </is>
      </c>
      <c r="H9" s="7" t="inlineStr">
        <is>
          <t>Pass</t>
        </is>
      </c>
      <c r="I9" s="8" t="inlineStr">
        <is>
          <t>AC1 · EP (1) · Decision Table (R2) · evidence/test-pages.log</t>
        </is>
      </c>
      <c r="K9" s="9" t="inlineStr">
        <is>
          <t>Độ rộng viewport</t>
        </is>
      </c>
      <c r="L9" s="10" t="inlineStr">
        <is>
          <t>≥ 1281px (desktop rộng, vd 1440)
901–1280px (desktop hẹp, vd 1280)
≤ 900px (tablet/mobile, vd 768, 375)</t>
        </is>
      </c>
      <c r="M9" s="10" t="inlineStr">
        <is>
          <t>1
2
3</t>
        </is>
      </c>
      <c r="N9" s="10" t="inlineStr"/>
      <c r="O9" s="10" t="inlineStr"/>
      <c r="Q9" s="10" t="inlineStr">
        <is>
          <t>Route thuộc /dashboard?</t>
        </is>
      </c>
      <c r="R9" s="11" t="inlineStr">
        <is>
          <t>No</t>
        </is>
      </c>
      <c r="S9" s="11" t="inlineStr">
        <is>
          <t>Yes</t>
        </is>
      </c>
    </row>
    <row r="10" ht="74" customHeight="1">
      <c r="A10" s="7" t="inlineStr">
        <is>
          <t>TC-ADMINUI-02</t>
        </is>
      </c>
      <c r="B10" s="7" t="inlineStr">
        <is>
          <t>Hiển thị trang Danh mục thuốc với theme mới, đủ cột bảng</t>
        </is>
      </c>
      <c r="C10" s="8" t="inlineStr">
        <is>
          <t>Đã đăng nhập admin; viewport 1440×900</t>
        </is>
      </c>
      <c r="D10" s="8" t="inlineStr">
        <is>
          <t>1. Mở /dashboard/medications
2. Quan sát stats, bộ lọc, bảng 7 cột</t>
        </is>
      </c>
      <c r="E10" s="8" t="inlineStr">
        <is>
          <t>Viewport 1440×900</t>
        </is>
      </c>
      <c r="F10" s="8" t="inlineStr">
        <is>
          <t>Card stats và bộ lọc dạng chip; bảng hiện đủ 7 cột kể cả "THAO TÁC" với 3 nút sửa/xem/xóa; badge "Đã xác thực" xanh lá có chữ</t>
        </is>
      </c>
      <c r="G10" s="8" t="inlineStr">
        <is>
          <t>Đúng; .medication-table-scroll scrollWidth = clientWidth = 1118 (impl-medications-1440.png)</t>
        </is>
      </c>
      <c r="H10" s="7" t="inlineStr">
        <is>
          <t>Pass</t>
        </is>
      </c>
      <c r="I10" s="8" t="inlineStr">
        <is>
          <t>AC1 · EP (1) · evidence/test-pages.log, evidence/test-table-width.log</t>
        </is>
      </c>
      <c r="Q10" s="10" t="inlineStr">
        <is>
          <t>Có phiên đăng nhập hợp lệ?</t>
        </is>
      </c>
      <c r="R10" s="11" t="inlineStr">
        <is>
          <t>-</t>
        </is>
      </c>
      <c r="S10" s="11" t="inlineStr">
        <is>
          <t>Yes</t>
        </is>
      </c>
    </row>
    <row r="11" ht="57.5" customHeight="1">
      <c r="A11" s="7" t="inlineStr">
        <is>
          <t>TC-ADMINUI-03</t>
        </is>
      </c>
      <c r="B11" s="7" t="inlineStr">
        <is>
          <t>Hiển thị trang Quy tắc tương tác với theme mới, nút header nằm ngang</t>
        </is>
      </c>
      <c r="C11" s="8" t="inlineStr">
        <is>
          <t>Đã đăng nhập admin; viewport 1440×900</t>
        </is>
      </c>
      <c r="D11" s="8" t="inlineStr">
        <is>
          <t>1. Mở /dashboard/interactions
2. Quan sát header, stats, bảng</t>
        </is>
      </c>
      <c r="E11" s="8" t="inlineStr">
        <is>
          <t>Viewport 1440×900</t>
        </is>
      </c>
      <c r="F11" s="8" t="inlineStr">
        <is>
          <t>Nút "Xuất ma trận đối soát" và "Thêm quy tắc mới" nằm cùng hàng; badge "Chống chỉ định" màu đỏ có chữ; bảng vừa card</t>
        </is>
      </c>
      <c r="G11" s="8" t="inlineStr">
        <is>
          <t>Đúng; .interaction-frame3-table-scroll scrollWidth = clientWidth = 1118 (impl-interactions-1440.png)</t>
        </is>
      </c>
      <c r="H11" s="7" t="inlineStr">
        <is>
          <t>Pass</t>
        </is>
      </c>
      <c r="I11" s="8" t="inlineStr">
        <is>
          <t>AC1 · EP (1) · evidence/test-pages.log, evidence/test-table-width.log</t>
        </is>
      </c>
      <c r="Q11" s="6" t="inlineStr">
        <is>
          <t>Action</t>
        </is>
      </c>
      <c r="R11" s="5" t="inlineStr">
        <is>
          <t>R1</t>
        </is>
      </c>
      <c r="S11" s="5" t="inlineStr">
        <is>
          <t>R2</t>
        </is>
      </c>
    </row>
    <row r="12" ht="57.5" customHeight="1">
      <c r="A12" s="7" t="inlineStr">
        <is>
          <t>TC-ADMINUI-04</t>
        </is>
      </c>
      <c r="B12" s="7" t="inlineStr">
        <is>
          <t>Hiển thị hai trang placeholder Đối soát OCR và Nhật ký với theme mới</t>
        </is>
      </c>
      <c r="C12" s="8" t="inlineStr">
        <is>
          <t>Đã đăng nhập admin; viewport 1440×900</t>
        </is>
      </c>
      <c r="D12" s="8" t="inlineStr">
        <is>
          <t>1. Mở /dashboard/ocr-review
2. Mở /dashboard/scraper-logs</t>
        </is>
      </c>
      <c r="E12" s="8" t="inlineStr">
        <is>
          <t>Viewport 1440×900</t>
        </is>
      </c>
      <c r="F12" s="8" t="inlineStr">
        <is>
          <t>Khung placeholder là card trắng bo góc trong layout mới; mục sidebar tương ứng là pill trắng</t>
        </is>
      </c>
      <c r="G12" s="8" t="inlineStr">
        <is>
          <t>Đúng ở cả hai trang (impl-ocr-review-1440.png, impl-scraper-logs-1440.png)</t>
        </is>
      </c>
      <c r="H12" s="7" t="inlineStr">
        <is>
          <t>Pass</t>
        </is>
      </c>
      <c r="I12" s="8" t="inlineStr">
        <is>
          <t>AC1 · EP (1) · evidence/test-pages.log</t>
        </is>
      </c>
      <c r="Q12" s="10" t="inlineStr">
        <is>
          <t>Giao diện Login cũ, không có .admin-theme</t>
        </is>
      </c>
      <c r="R12" s="11" t="inlineStr">
        <is>
          <t>X</t>
        </is>
      </c>
      <c r="S12" s="11" t="inlineStr"/>
    </row>
    <row r="13" ht="57.5" customHeight="1">
      <c r="A13" s="7" t="inlineStr">
        <is>
          <t>TC-ADMINUI-05</t>
        </is>
      </c>
      <c r="B13" s="7" t="inlineStr">
        <is>
          <t>Giữ nguyên giao diện trang Login ở desktop</t>
        </is>
      </c>
      <c r="C13" s="8" t="inlineStr">
        <is>
          <t>Chưa đăng nhập; có ảnh baseline login-before-1440.png chụp trước khi sửa</t>
        </is>
      </c>
      <c r="D13" s="8" t="inlineStr">
        <is>
          <t>1. Mở /auth/login ở 1440×900 bằng Chrome headless
2. So pixel với ảnh baseline</t>
        </is>
      </c>
      <c r="E13" s="8" t="inlineStr">
        <is>
          <t>Viewport 1440×900</t>
        </is>
      </c>
      <c r="F13" s="8" t="inlineStr">
        <is>
          <t>0 pixel khác so với baseline</t>
        </is>
      </c>
      <c r="G13" s="8" t="inlineStr">
        <is>
          <t>diff_pixels=0</t>
        </is>
      </c>
      <c r="H13" s="7" t="inlineStr">
        <is>
          <t>Pass</t>
        </is>
      </c>
      <c r="I13" s="8" t="inlineStr">
        <is>
          <t>AC2 · EP (1) · Decision Table (R1) · evidence/test-login-diff.log</t>
        </is>
      </c>
      <c r="Q13" s="10" t="inlineStr">
        <is>
          <t>Theme mới (.admin-theme)</t>
        </is>
      </c>
      <c r="R13" s="11" t="inlineStr"/>
      <c r="S13" s="11" t="inlineStr">
        <is>
          <t>X</t>
        </is>
      </c>
    </row>
    <row r="14" ht="57.5" customHeight="1">
      <c r="A14" s="7" t="inlineStr">
        <is>
          <t>TC-ADMINUI-06</t>
        </is>
      </c>
      <c r="B14" s="7" t="inlineStr">
        <is>
          <t>Giữ nguyên giao diện trang Login ở mobile</t>
        </is>
      </c>
      <c r="C14" s="8" t="inlineStr">
        <is>
          <t>Chưa đăng nhập; có ảnh baseline login-before-375.png</t>
        </is>
      </c>
      <c r="D14" s="8" t="inlineStr">
        <is>
          <t>1. Mở /auth/login ở 375×812 bằng Chrome headless
2. So pixel với ảnh baseline</t>
        </is>
      </c>
      <c r="E14" s="8" t="inlineStr">
        <is>
          <t>Viewport 375×812</t>
        </is>
      </c>
      <c r="F14" s="8" t="inlineStr">
        <is>
          <t>0 pixel khác so với baseline</t>
        </is>
      </c>
      <c r="G14" s="8" t="inlineStr">
        <is>
          <t>diff_pixels=0</t>
        </is>
      </c>
      <c r="H14" s="7" t="inlineStr">
        <is>
          <t>Pass</t>
        </is>
      </c>
      <c r="I14" s="8" t="inlineStr">
        <is>
          <t>AC2 · EP (3) · Decision Table (R1) · evidence/test-login-diff.log</t>
        </is>
      </c>
    </row>
    <row r="15" ht="74" customHeight="1">
      <c r="A15" s="7" t="inlineStr">
        <is>
          <t>TC-ADMINUI-07</t>
        </is>
      </c>
      <c r="B15" s="7" t="inlineStr">
        <is>
          <t>Đăng xuất từ dashboard rồi xem Login, theme không rò sang</t>
        </is>
      </c>
      <c r="C15" s="8" t="inlineStr">
        <is>
          <t>Đang ở /dashboard (stylesheet theme đã nạp)</t>
        </is>
      </c>
      <c r="D15" s="8" t="inlineStr">
        <is>
          <t>1. Bấm nút "Đăng xuất" trên topbar
2. Chờ chuyển về /auth/login
3. So pixel với Login mở trực tiếp</t>
        </is>
      </c>
      <c r="E15" s="8" t="inlineStr">
        <is>
          <t>Viewport 1440×900</t>
        </is>
      </c>
      <c r="F15" s="8" t="inlineStr">
        <is>
          <t>Về /auth/login; giao diện giống hệt Login mở trực tiếp</t>
        </is>
      </c>
      <c r="G15" s="8" t="inlineStr">
        <is>
          <t>path /auth/login; diff_pixels=0 (login-cdp-after-logout-1440.png vs login-cdp-direct-1440.png)</t>
        </is>
      </c>
      <c r="H15" s="7" t="inlineStr">
        <is>
          <t>Pass</t>
        </is>
      </c>
      <c r="I15" s="8" t="inlineStr">
        <is>
          <t>AC2 · Error guessing (CSS còn nạp sau điều hướng client) · evidence/test-login-logout.log, evidence/test-login-diff.log</t>
        </is>
      </c>
    </row>
    <row r="16" ht="90.5" customHeight="1">
      <c r="A16" s="7" t="inlineStr">
        <is>
          <t>TC-ADMINUI-08</t>
        </is>
      </c>
      <c r="B16" s="7" t="inlineStr">
        <is>
          <t>Kiểm diff chỉ đổi phần trình bày, không đổi logic hay dữ liệu</t>
        </is>
      </c>
      <c r="C16" s="8" t="inlineStr">
        <is>
          <t>Nhánh frontend feat/adhoc-20261025-admin-ui-redesign</t>
        </is>
      </c>
      <c r="D16" s="8" t="inlineStr">
        <is>
          <t>1. git -C frontend diff --stat origin/main..HEAD
2. Đọc diff layout.tsx
3. Liệt kê thay đổi trong components, app/auth, lib, globals.css</t>
        </is>
      </c>
      <c r="E16" s="8" t="inlineStr">
        <is>
          <t>origin/main..HEAD (24c36415, 122e3577)</t>
        </is>
      </c>
      <c r="F16" s="8" t="inlineStr">
        <is>
          <t>Chỉ dashboard-theme.css (mới) và layout.tsx (font, thẻ bao, import CSS); không file logic hay Login nào bị đổi</t>
        </is>
      </c>
      <c r="G16" s="8" t="inlineStr">
        <is>
          <t>Đúng 2 file; danh sách file trong components/app/auth/lib/globals.css rỗng</t>
        </is>
      </c>
      <c r="H16" s="7" t="inlineStr">
        <is>
          <t>Pass</t>
        </is>
      </c>
      <c r="I16" s="8" t="inlineStr">
        <is>
          <t>AC3 · manual · evidence/test-diff.log</t>
        </is>
      </c>
    </row>
    <row r="17" ht="74" customHeight="1">
      <c r="A17" s="7" t="inlineStr">
        <is>
          <t>TC-ADMINUI-09</t>
        </is>
      </c>
      <c r="B17" s="7" t="inlineStr">
        <is>
          <t>Tìm kiếm, lọc và đặt lại bộ lọc trên Danh mục thuốc</t>
        </is>
      </c>
      <c r="C17" s="8" t="inlineStr">
        <is>
          <t>Đã đăng nhập; /dashboard/medications có 23 bản ghi mẫu, 10 dòng/trang</t>
        </is>
      </c>
      <c r="D17" s="8" t="inlineStr">
        <is>
          <t>1. Gõ "Warfarin" vào ô tìm kiếm
2. Xóa từ khóa
3. Chọn "Chất lượng: Thiếu thông tin"
4. Bấm "Đặt lại"</t>
        </is>
      </c>
      <c r="E17" s="8" t="inlineStr">
        <is>
          <t>Từ khóa: Warfarin; Chất lượng: Thiếu thông tin</t>
        </is>
      </c>
      <c r="F17" s="8" t="inlineStr">
        <is>
          <t>Tìm kiếm còn 1 dòng; xóa từ khóa về 10 dòng; lọc còn 2 dòng; đặt lại về 10 dòng và select về "Tất cả"</t>
        </is>
      </c>
      <c r="G17" s="8" t="inlineStr">
        <is>
          <t>1 → 10 → 2 → 10 dòng; 0 lỗi console</t>
        </is>
      </c>
      <c r="H17" s="7" t="inlineStr">
        <is>
          <t>Pass</t>
        </is>
      </c>
      <c r="I17" s="8" t="inlineStr">
        <is>
          <t>AC4 · scratch/behavior-medications.js · evidence/test-behavior-medications.log</t>
        </is>
      </c>
    </row>
    <row r="18" ht="41" customHeight="1">
      <c r="A18" s="7" t="inlineStr">
        <is>
          <t>TC-ADMINUI-10</t>
        </is>
      </c>
      <c r="B18" s="7" t="inlineStr">
        <is>
          <t>Chuyển trang trong bảng Danh mục thuốc</t>
        </is>
      </c>
      <c r="C18" s="8" t="inlineStr">
        <is>
          <t>Đang ở trang 1 của bảng thuốc</t>
        </is>
      </c>
      <c r="D18" s="8" t="inlineStr">
        <is>
          <t>1. Bấm "Trang sau"
2. Bấm "Trang đầu"</t>
        </is>
      </c>
      <c r="E18" s="8" t="inlineStr">
        <is>
          <t>(none)</t>
        </is>
      </c>
      <c r="F18" s="8" t="inlineStr">
        <is>
          <t>Trang 2 có dòng đầu khác trang 1; về trang đầu thì dòng đầu là "Coumadin 5mg"</t>
        </is>
      </c>
      <c r="G18" s="8" t="inlineStr">
        <is>
          <t>Coumadin 5mg → Pyme AZI 500 → Coumadin 5mg</t>
        </is>
      </c>
      <c r="H18" s="7" t="inlineStr">
        <is>
          <t>Pass</t>
        </is>
      </c>
      <c r="I18" s="8" t="inlineStr">
        <is>
          <t>AC4 · evidence/test-behavior-medications.log</t>
        </is>
      </c>
    </row>
    <row r="19" ht="74" customHeight="1">
      <c r="A19" s="7" t="inlineStr">
        <is>
          <t>TC-ADMINUI-11</t>
        </is>
      </c>
      <c r="B19" s="7" t="inlineStr">
        <is>
          <t>Mở và đóng form thêm, form sửa, modal chi tiết thuốc</t>
        </is>
      </c>
      <c r="C19" s="8" t="inlineStr">
        <is>
          <t>Đang ở /dashboard/medications</t>
        </is>
      </c>
      <c r="D19" s="8" t="inlineStr">
        <is>
          <t>1. Bấm "Thêm thuốc mới" rồi "Hủy bỏ"
2. Bấm nút sửa của Coumadin 5mg rồi đóng
3. Bấm nút xem chi tiết rồi đóng</t>
        </is>
      </c>
      <c r="E19" s="8" t="inlineStr">
        <is>
          <t>Coumadin 5mg</t>
        </is>
      </c>
      <c r="F19" s="8" t="inlineStr">
        <is>
          <t>Mở đúng modal "Thêm thuốc mới vào danh mục", "Chỉnh sửa thuốc: Coumadin 5mg", "Chi tiết bản ghi biệt dược"; đóng xong không còn modal</t>
        </is>
      </c>
      <c r="G19" s="8" t="inlineStr">
        <is>
          <t>Đúng cả 3 modal, đóng được</t>
        </is>
      </c>
      <c r="H19" s="7" t="inlineStr">
        <is>
          <t>Pass</t>
        </is>
      </c>
      <c r="I19" s="8" t="inlineStr">
        <is>
          <t>AC4 · evidence/test-behavior-medications.log</t>
        </is>
      </c>
    </row>
    <row r="20" ht="41" customHeight="1">
      <c r="A20" s="7" t="inlineStr">
        <is>
          <t>TC-ADMINUI-12</t>
        </is>
      </c>
      <c r="B20" s="7" t="inlineStr">
        <is>
          <t>Duyệt nhanh thuốc cần duyệt</t>
        </is>
      </c>
      <c r="C20" s="8" t="inlineStr">
        <is>
          <t>Trang 1 có dòng "Lexomil 6mg" trạng thái Cần duyệt</t>
        </is>
      </c>
      <c r="D20" s="8" t="inlineStr">
        <is>
          <t>1. Bấm nút duyệt của Lexomil 6mg</t>
        </is>
      </c>
      <c r="E20" s="8" t="inlineStr">
        <is>
          <t>Lexomil 6mg</t>
        </is>
      </c>
      <c r="F20" s="8" t="inlineStr">
        <is>
          <t>Hiện toast "Đã duyệt thuốc thành công" với style mới</t>
        </is>
      </c>
      <c r="G20" s="8" t="inlineStr">
        <is>
          <t>Toast "Đã duyệt thuốc thành công"</t>
        </is>
      </c>
      <c r="H20" s="7" t="inlineStr">
        <is>
          <t>Pass</t>
        </is>
      </c>
      <c r="I20" s="8" t="inlineStr">
        <is>
          <t>AC4 · evidence/test-behavior-medications.log</t>
        </is>
      </c>
    </row>
    <row r="21" ht="57.5" customHeight="1">
      <c r="A21" s="7" t="inlineStr">
        <is>
          <t>TC-ADMINUI-13</t>
        </is>
      </c>
      <c r="B21" s="7" t="inlineStr">
        <is>
          <t>Xóa mềm thuốc rồi hoàn tác</t>
        </is>
      </c>
      <c r="C21" s="8" t="inlineStr">
        <is>
          <t>Trang 1 có Coumadin 5mg</t>
        </is>
      </c>
      <c r="D21" s="8" t="inlineStr">
        <is>
          <t>1. Bấm xóa Coumadin 5mg
2. Xác nhận trong hộp thoại
3. Bấm nút hoàn tác trên toast</t>
        </is>
      </c>
      <c r="E21" s="8" t="inlineStr">
        <is>
          <t>Coumadin 5mg</t>
        </is>
      </c>
      <c r="F21" s="8" t="inlineStr">
        <is>
          <t>Dòng biến mất và có toast "Đã xóa thuốc" kèm nút hoàn tác; hoàn tác thì dòng quay lại</t>
        </is>
      </c>
      <c r="G21" s="8" t="inlineStr">
        <is>
          <t>Đúng; toast "Đã xóa thuốc", hoàn tác khôi phục dòng</t>
        </is>
      </c>
      <c r="H21" s="7" t="inlineStr">
        <is>
          <t>Pass</t>
        </is>
      </c>
      <c r="I21" s="8" t="inlineStr">
        <is>
          <t>AC4 · evidence/test-behavior-medications.log</t>
        </is>
      </c>
    </row>
    <row r="22" ht="90.5" customHeight="1">
      <c r="A22" s="7" t="inlineStr">
        <is>
          <t>TC-ADMINUI-14</t>
        </is>
      </c>
      <c r="B22" s="7" t="inlineStr">
        <is>
          <t>Tìm kiếm, lọc mức độ, đặt lại và chuyển trang trên Quy tắc tương tác</t>
        </is>
      </c>
      <c r="C22" s="8" t="inlineStr">
        <is>
          <t>Đã đăng nhập; /dashboard/interactions có dữ liệu mẫu</t>
        </is>
      </c>
      <c r="D22" s="8" t="inlineStr">
        <is>
          <t>1. Gõ "Warfarin"
2. Xóa từ khóa
3. Chọn mức độ đầu tiên (Chống chỉ định)
4. Bấm "Đặt lại"
5. Bấm "Trang sau"</t>
        </is>
      </c>
      <c r="E22" s="8" t="inlineStr">
        <is>
          <t>Từ khóa: Warfarin; Mức độ: Chống chỉ định</t>
        </is>
      </c>
      <c r="F22" s="8" t="inlineStr">
        <is>
          <t>1 dòng → 10 → 5 → 10; trang sau dòng đầu khác trang 1</t>
        </is>
      </c>
      <c r="G22" s="8" t="inlineStr">
        <is>
          <t>1 → 10 → 5 → 10; Warfarin ⇄ Aspirin / NSAIDs → Levothyroxine ⇄ Canxi Carbonate / Sắt Sulfat</t>
        </is>
      </c>
      <c r="H22" s="7" t="inlineStr">
        <is>
          <t>Pass</t>
        </is>
      </c>
      <c r="I22" s="8" t="inlineStr">
        <is>
          <t>AC4 · scratch/behavior-interactions.js · evidence/test-behavior-interactions.log</t>
        </is>
      </c>
    </row>
    <row r="23" ht="90.5" customHeight="1">
      <c r="A23" s="7" t="inlineStr">
        <is>
          <t>TC-ADMINUI-15</t>
        </is>
      </c>
      <c r="B23" s="7" t="inlineStr">
        <is>
          <t>Mở form thêm, form hiệu chỉnh và hủy xóa mềm quy tắc tương tác</t>
        </is>
      </c>
      <c r="C23" s="8" t="inlineStr">
        <is>
          <t>Đang ở /dashboard/interactions</t>
        </is>
      </c>
      <c r="D23" s="8" t="inlineStr">
        <is>
          <t>1. Bấm "Thêm quy tắc mới" rồi "Hủy bỏ"
2. Bấm "Hiệu chỉnh" dòng đầu rồi đóng
3. Bấm xóa dòng đầu rồi "Hủy"</t>
        </is>
      </c>
      <c r="E23" s="8" t="inlineStr">
        <is>
          <t>RULE-INT-0418</t>
        </is>
      </c>
      <c r="F23" s="8" t="inlineStr">
        <is>
          <t>Modal "Thêm mới quy tắc tương tác thuốc", "Hiệu chỉnh quy tắc tương tác: RULE-INT-0418", "Xác nhận xóa quy tắc tương tác" mở và đóng được; hủy xóa giữ nguyên 10 dòng</t>
        </is>
      </c>
      <c r="G23" s="8" t="inlineStr">
        <is>
          <t>Đúng cả 3 modal; bảng giữ 10 dòng</t>
        </is>
      </c>
      <c r="H23" s="7" t="inlineStr">
        <is>
          <t>Pass</t>
        </is>
      </c>
      <c r="I23" s="8" t="inlineStr">
        <is>
          <t>AC4 · evidence/test-behavior-interactions.log</t>
        </is>
      </c>
    </row>
    <row r="24" ht="74" customHeight="1">
      <c r="A24" s="7" t="inlineStr">
        <is>
          <t>TC-ADMINUI-16</t>
        </is>
      </c>
      <c r="B24" s="7" t="inlineStr">
        <is>
          <t>Di chuyển bằng phím Tab, viền focus nhìn rõ</t>
        </is>
      </c>
      <c r="C24" s="8" t="inlineStr">
        <is>
          <t>Đang ở /dashboard và /dashboard/medications</t>
        </is>
      </c>
      <c r="D24" s="8" t="inlineStr">
        <is>
          <t>1. Bấm Tab 2, 6, 9, 12 lần trên /dashboard
2. Bấm Tab 14 lần trên /dashboard/medications
3. Đọc :focus-visible và outline của phần tử đang focus</t>
        </is>
      </c>
      <c r="E24" s="8" t="inlineStr">
        <is>
          <t>Phím Tab (CDP Input.dispatchKeyEvent)</t>
        </is>
      </c>
      <c r="F24" s="8" t="inlineStr">
        <is>
          <t>Link sidebar outline trắng 2px; nút outline 3px #2563eb; select hiện viền và vòng sáng của ô lọc</t>
        </is>
      </c>
      <c r="G24" s="8" t="inlineStr">
        <is>
          <t>Đúng cả 5 lần; :focus-visible = true</t>
        </is>
      </c>
      <c r="H24" s="7" t="inlineStr">
        <is>
          <t>Pass</t>
        </is>
      </c>
      <c r="I24" s="8" t="inlineStr">
        <is>
          <t>AC5 · evidence/test-focus.log</t>
        </is>
      </c>
    </row>
    <row r="25" ht="57.5" customHeight="1">
      <c r="A25" s="7" t="inlineStr">
        <is>
          <t>TC-ADMINUI-17</t>
        </is>
      </c>
      <c r="B25" s="7" t="inlineStr">
        <is>
          <t>Đạt tương phản màu WCAG cho các cặp chữ/nền mới</t>
        </is>
      </c>
      <c r="C25" s="8" t="inlineStr">
        <is>
          <t>Bảng màu theme cuối cùng</t>
        </is>
      </c>
      <c r="D25" s="8" t="inlineStr">
        <is>
          <t>1. Chạy scratch/contrast.py</t>
        </is>
      </c>
      <c r="E25" s="8" t="inlineStr">
        <is>
          <t>12 cặp màu (chữ trắng trên nền xanh, chữ phụ, link, focus ring...)</t>
        </is>
      </c>
      <c r="F25" s="8" t="inlineStr">
        <is>
          <t>Chữ thường ≥ 4.5:1; thành phần không phải chữ ≥ 3:1</t>
        </is>
      </c>
      <c r="G25" s="8" t="inlineStr">
        <is>
          <t>12/12 đạt, thấp nhất 4.27:1 cho icon (ngưỡng 3:1) và 4.86:1 cho chữ phụ</t>
        </is>
      </c>
      <c r="H25" s="7" t="inlineStr">
        <is>
          <t>Pass</t>
        </is>
      </c>
      <c r="I25" s="8" t="inlineStr">
        <is>
          <t>AC5 · evidence/test-contrast.log</t>
        </is>
      </c>
    </row>
    <row r="26" ht="41" customHeight="1">
      <c r="A26" s="7" t="inlineStr">
        <is>
          <t>TC-ADMINUI-18</t>
        </is>
      </c>
      <c r="B26" s="7" t="inlineStr">
        <is>
          <t>Hiển thị các trang dashboard ở tablet 768px</t>
        </is>
      </c>
      <c r="C26" s="8" t="inlineStr">
        <is>
          <t>Đã đăng nhập</t>
        </is>
      </c>
      <c r="D26" s="8" t="inlineStr">
        <is>
          <t>1. Mở 4 trang dashboard ở 768×1024
2. Đo scrollWidth − innerWidth</t>
        </is>
      </c>
      <c r="E26" s="8" t="inlineStr">
        <is>
          <t>Viewport 768×1024</t>
        </is>
      </c>
      <c r="F26" s="8" t="inlineStr">
        <is>
          <t>Không cuộn ngang toàn trang; sidebar thành thanh trên, menu cuộn ngang</t>
        </is>
      </c>
      <c r="G26" s="8" t="inlineStr">
        <is>
          <t>overflowX = 0 ở cả 4 trang</t>
        </is>
      </c>
      <c r="H26" s="7" t="inlineStr">
        <is>
          <t>Pass</t>
        </is>
      </c>
      <c r="I26" s="8" t="inlineStr">
        <is>
          <t>AC6 · EP (3) · evidence/test-responsive.log</t>
        </is>
      </c>
    </row>
    <row r="27" ht="41" customHeight="1">
      <c r="A27" s="7" t="inlineStr">
        <is>
          <t>TC-ADMINUI-19</t>
        </is>
      </c>
      <c r="B27" s="7" t="inlineStr">
        <is>
          <t>Hiển thị các trang dashboard ở mobile 375px</t>
        </is>
      </c>
      <c r="C27" s="8" t="inlineStr">
        <is>
          <t>Đã đăng nhập</t>
        </is>
      </c>
      <c r="D27" s="8" t="inlineStr">
        <is>
          <t>1. Mở 4 trang dashboard ở 375×812
2. Đo scrollWidth − innerWidth</t>
        </is>
      </c>
      <c r="E27" s="8" t="inlineStr">
        <is>
          <t>Viewport 375×812</t>
        </is>
      </c>
      <c r="F27" s="8" t="inlineStr">
        <is>
          <t>Không cuộn ngang toàn trang; topbar xuống dòng gọn, không tràn mép</t>
        </is>
      </c>
      <c r="G27" s="8" t="inlineStr">
        <is>
          <t>overflowX = 0 ở cả 4 trang</t>
        </is>
      </c>
      <c r="H27" s="7" t="inlineStr">
        <is>
          <t>Pass</t>
        </is>
      </c>
      <c r="I27" s="8" t="inlineStr">
        <is>
          <t>AC6 · EP (3) · evidence/test-responsive.log</t>
        </is>
      </c>
    </row>
    <row r="28" ht="74" customHeight="1">
      <c r="A28" s="7" t="inlineStr">
        <is>
          <t>TC-ADMINUI-20</t>
        </is>
      </c>
      <c r="B28" s="7" t="inlineStr">
        <is>
          <t>Tắt chuyển động khi bật prefers-reduced-motion</t>
        </is>
      </c>
      <c r="C28" s="8" t="inlineStr">
        <is>
          <t>Đang ở /dashboard</t>
        </is>
      </c>
      <c r="D28" s="8" t="inlineStr">
        <is>
          <t>1. Giả lập prefers-reduced-motion: reduce
2. Đọc transition-duration của link sidebar và card KPI
3. Tắt giả lập và đọc lại</t>
        </is>
      </c>
      <c r="E28" s="8" t="inlineStr">
        <is>
          <t>reduce / no-preference</t>
        </is>
      </c>
      <c r="F28" s="8" t="inlineStr">
        <is>
          <t>Khi reduce gần 0s; khi tắt là thời gian bình thường</t>
        </is>
      </c>
      <c r="G28" s="8" t="inlineStr">
        <is>
          <t>reduce: 1e-05s, 1e-05s; no-preference: 0.18s, 0.2s</t>
        </is>
      </c>
      <c r="H28" s="7" t="inlineStr">
        <is>
          <t>Pass</t>
        </is>
      </c>
      <c r="I28" s="8" t="inlineStr">
        <is>
          <t>AC7 · evidence/test-focus-motion.log</t>
        </is>
      </c>
    </row>
    <row r="29" ht="57.5" customHeight="1">
      <c r="A29" s="7" t="inlineStr">
        <is>
          <t>TC-ADMINUI-21</t>
        </is>
      </c>
      <c r="B29" s="7" t="inlineStr">
        <is>
          <t>Chạy lint và build production của Admin Web</t>
        </is>
      </c>
      <c r="C29" s="8" t="inlineStr">
        <is>
          <t>frontend ở commit 122e3577</t>
        </is>
      </c>
      <c r="D29" s="8" t="inlineStr">
        <is>
          <t>1. cd frontend/admin &amp;&amp; npm run lint
2. npm run build</t>
        </is>
      </c>
      <c r="E29" s="8" t="inlineStr">
        <is>
          <t>(none)</t>
        </is>
      </c>
      <c r="F29" s="8" t="inlineStr">
        <is>
          <t>Cả hai exit 0; đủ 11 route; /auth/login giữ 7.41 kB</t>
        </is>
      </c>
      <c r="G29" s="8" t="inlineStr">
        <is>
          <t>lint exit 0; build exit 0, 11 route, /auth/login 7.41 kB</t>
        </is>
      </c>
      <c r="H29" s="7" t="inlineStr">
        <is>
          <t>Pass</t>
        </is>
      </c>
      <c r="I29" s="8" t="inlineStr">
        <is>
          <t>AC8 · evidence/test-admin-lint.log, evidence/test-admin-build.log</t>
        </is>
      </c>
    </row>
    <row r="30" ht="90.5" customHeight="1">
      <c r="A30" s="7" t="inlineStr">
        <is>
          <t>TC-ADMINUI-22</t>
        </is>
      </c>
      <c r="B30" s="7" t="inlineStr">
        <is>
          <t>Cuộn trang bằng một thanh cuộn duy nhất, sidebar và topbar đứng yên</t>
        </is>
      </c>
      <c r="C30" s="8" t="inlineStr">
        <is>
          <t>Đã đăng nhập; viewport 1440×900</t>
        </is>
      </c>
      <c r="D30" s="8" t="inlineStr">
        <is>
          <t>1. Mở 3 trang dashboard
2. Liệt kê phần tử có overflow-y auto/scroll đang cuộn được
3. Cuộn trang khoảng 300px
4. Đọc vị trí topbar và sidebar</t>
        </is>
      </c>
      <c r="E30" s="8" t="inlineStr">
        <is>
          <t>Viewport 1440×900</t>
        </is>
      </c>
      <c r="F30" s="8" t="inlineStr">
        <is>
          <t>Không có vùng cuộn dọc lồng bên trong; chỉ document cuộn; topbar và sidebar giữ top = 0; thanh cuộn mảnh màu #b6c4da</t>
        </is>
      </c>
      <c r="G30" s="8" t="inlineStr">
        <is>
          <t>innerVerticalScrollers = []; topbar/sidebar top 0 trước và sau; scrollbar-color rgb(182, 196, 218)</t>
        </is>
      </c>
      <c r="H30" s="7" t="inlineStr">
        <is>
          <t>Pass</t>
        </is>
      </c>
      <c r="I30" s="8" t="inlineStr">
        <is>
          <t>AC1 · P13 · evidence/test-scroll-structure.log</t>
        </is>
      </c>
    </row>
    <row r="31" ht="74" customHeight="1">
      <c r="A31" s="7" t="inlineStr">
        <is>
          <t>TC-ADMINUI-23</t>
        </is>
      </c>
      <c r="B31" s="7" t="inlineStr">
        <is>
          <t>Hiện đủ cột bảng ở desktop hẹp 1280px</t>
        </is>
      </c>
      <c r="C31" s="8" t="inlineStr">
        <is>
          <t>Đã đăng nhập</t>
        </is>
      </c>
      <c r="D31" s="8" t="inlineStr">
        <is>
          <t>1. Mở /dashboard/medications và /dashboard/interactions ở 1280×800
2. So scrollWidth với clientWidth của vùng bảng</t>
        </is>
      </c>
      <c r="E31" s="8" t="inlineStr">
        <is>
          <t>Viewport 1280×800</t>
        </is>
      </c>
      <c r="F31" s="8" t="inlineStr">
        <is>
          <t>Bảng vừa card, không có cuộn ngang trong card</t>
        </is>
      </c>
      <c r="G31" s="8" t="inlineStr">
        <is>
          <t>958 = 958 ở cả hai bảng</t>
        </is>
      </c>
      <c r="H31" s="7" t="inlineStr">
        <is>
          <t>Pass</t>
        </is>
      </c>
      <c r="I31" s="8" t="inlineStr">
        <is>
          <t>AC6 · EP (2) · evidence/test-table-width.log</t>
        </is>
      </c>
    </row>
    <row r="32" ht="57.5" customHeight="1">
      <c r="A32" s="7" t="inlineStr">
        <is>
          <t>TC-ADMINUI-24</t>
        </is>
      </c>
      <c r="B32" s="7" t="inlineStr">
        <is>
          <t>Khóa cuộn trang nền khi đang mở modal</t>
        </is>
      </c>
      <c r="C32" s="8" t="inlineStr">
        <is>
          <t>Đang ở /dashboard/medications, trang cuộn được</t>
        </is>
      </c>
      <c r="D32" s="8" t="inlineStr">
        <is>
          <t>1. Lăn chuột 600px khi chưa mở modal
2. Tải lại, mở modal chi tiết thuốc, lăn chuột 600px</t>
        </is>
      </c>
      <c r="E32" s="8" t="inlineStr">
        <is>
          <t>mouseWheel deltaY 600 (CDP)</t>
        </is>
      </c>
      <c r="F32" s="8" t="inlineStr">
        <is>
          <t>Chưa mở modal: trang cuộn; đang mở modal: trang nền không cuộn</t>
        </is>
      </c>
      <c r="G32" s="8" t="inlineStr">
        <is>
          <t>Không modal: scrollY 268; có modal: scrollY 0, body overflow hidden</t>
        </is>
      </c>
      <c r="H32" s="7" t="inlineStr">
        <is>
          <t>Pass</t>
        </is>
      </c>
      <c r="I32" s="8" t="inlineStr">
        <is>
          <t>AC4 · Chuyển trạng thái (đóng → mở modal) · evidence/test-modal-scroll-lock.log</t>
        </is>
      </c>
    </row>
    <row r="33" ht="57.5" customHeight="1">
      <c r="A33" s="7" t="inlineStr">
        <is>
          <t>TC-ADMINUI-25</t>
        </is>
      </c>
      <c r="B33" s="7" t="inlineStr">
        <is>
          <t>Không để topbar dính che phần tử đang được focus</t>
        </is>
      </c>
      <c r="C33" s="8" t="inlineStr">
        <is>
          <t>Trang /dashboard/medications đã cuộn xuống cuối</t>
        </is>
      </c>
      <c r="D33" s="8" t="inlineStr">
        <is>
          <t>1. Focus nút đầu tiên trong bảng (trình duyệt tự cuộn tới)
2. So top của nút với đáy topbar</t>
        </is>
      </c>
      <c r="E33" s="8" t="inlineStr">
        <is>
          <t>scroll-padding-top 84px</t>
        </is>
      </c>
      <c r="F33" s="8" t="inlineStr">
        <is>
          <t>Nút nằm dưới đáy topbar (không bị che)</t>
        </is>
      </c>
      <c r="G33" s="8" t="inlineStr">
        <is>
          <t>Nút top 141px, đáy topbar 68px, obscured = false</t>
        </is>
      </c>
      <c r="H33" s="7" t="inlineStr">
        <is>
          <t>Pass</t>
        </is>
      </c>
      <c r="I33" s="8" t="inlineStr">
        <is>
          <t>AC5 · Error guessing (WCAG 2.2 focus not obscured) · evidence/test-focus-not-obscured.log</t>
        </is>
      </c>
    </row>
    <row r="34" ht="90.5" customHeight="1">
      <c r="A34" s="7" t="inlineStr">
        <is>
          <t>TC-ADMINUI-26</t>
        </is>
      </c>
      <c r="B34" s="7" t="inlineStr">
        <is>
          <t>Đăng nhập bằng tài khoản admin thật qua backend rồi duyệt giao diện</t>
        </is>
      </c>
      <c r="C34" s="8" t="inlineStr">
        <is>
          <t>Backend chạy với backend/.env (Supabase cloud); có tài khoản users.system_role = 'admin'; admin web chạy với DRUGTIME_API_BASE_URL</t>
        </is>
      </c>
      <c r="D34" s="8" t="inlineStr">
        <is>
          <t>1. Mở /auth/login
2. Đăng nhập bằng tài khoản admin
3. Duyệt 5 trang dashboard và đăng xuất</t>
        </is>
      </c>
      <c r="E34" s="8" t="inlineStr">
        <is>
          <t>Tài khoản admin test do người dùng tạo</t>
        </is>
      </c>
      <c r="F34" s="8" t="inlineStr">
        <is>
          <t>Đăng nhập thành công vào /dashboard; giao diện như TC-ADMINUI-01..04; đăng xuất về Login</t>
        </is>
      </c>
      <c r="G34" s="8" t="inlineStr"/>
      <c r="H34" s="7" t="inlineStr">
        <is>
          <t>Pending</t>
        </is>
      </c>
      <c r="I34" s="8" t="inlineStr">
        <is>
          <t>AC1, AC2 · manual · cần người chạy với backend thật (agent dùng cookie phiên test)</t>
        </is>
      </c>
    </row>
    <row r="35" ht="57.5" customHeight="1">
      <c r="A35" s="7" t="inlineStr">
        <is>
          <t>TC-ADMINUI-27</t>
        </is>
      </c>
      <c r="B35" s="7" t="inlineStr">
        <is>
          <t>Hiển thị layout và thanh cuộn trên Firefox và Safari</t>
        </is>
      </c>
      <c r="C35" s="8" t="inlineStr">
        <is>
          <t>Đã đăng nhập; có Firefox, Safari (macOS/iOS)</t>
        </is>
      </c>
      <c r="D35" s="8" t="inlineStr">
        <is>
          <t>1. Mở /dashboard/medications trên Firefox
2. Mở trên Safari
3. Quan sát thanh cuộn, topbar sticky, sidebar</t>
        </is>
      </c>
      <c r="E35" s="8" t="inlineStr">
        <is>
          <t>Firefox, Safari bản mới</t>
        </is>
      </c>
      <c r="F35" s="8" t="inlineStr">
        <is>
          <t>Layout như Chrome; thanh cuộn mảnh (Safari dùng fallback ::-webkit-scrollbar)</t>
        </is>
      </c>
      <c r="G35" s="8" t="inlineStr"/>
      <c r="H35" s="7" t="inlineStr">
        <is>
          <t>Pending</t>
        </is>
      </c>
      <c r="I35" s="8" t="inlineStr">
        <is>
          <t>AC1 · manual · agent chỉ kiểm trên Chrome headless</t>
        </is>
      </c>
    </row>
    <row r="36"/>
    <row r="37"/>
    <row r="38">
      <c r="G38" s="12" t="inlineStr">
        <is>
          <t>Pass</t>
        </is>
      </c>
      <c r="H38" s="13">
        <f>COUNTIF(H9:H35,"Pass")</f>
        <v/>
      </c>
    </row>
    <row r="39">
      <c r="G39" s="12" t="inlineStr">
        <is>
          <t>Fail</t>
        </is>
      </c>
      <c r="H39" s="13">
        <f>COUNTIF(H9:H35,"Fail")</f>
        <v/>
      </c>
    </row>
    <row r="40">
      <c r="G40" s="12" t="inlineStr">
        <is>
          <t>Pending</t>
        </is>
      </c>
      <c r="H40" s="13">
        <f>COUNTIF(H9:H35,"Pending")</f>
        <v/>
      </c>
    </row>
    <row r="41">
      <c r="G41" s="12" t="inlineStr">
        <is>
          <t>Total</t>
        </is>
      </c>
      <c r="H41" s="13">
        <f>SUM(H38:H40)</f>
        <v/>
      </c>
    </row>
  </sheetData>
  <autoFilter ref="A8:I35"/>
  <conditionalFormatting sqref="H9:H35">
    <cfRule type="cellIs" priority="1" operator="equal" dxfId="0">
      <formula>"Fail"</formula>
    </cfRule>
  </conditionalFormatting>
  <dataValidations count="1">
    <dataValidation sqref="H9:H35" showDropDown="0" showInputMessage="0" showErrorMessage="0" allowBlank="0" type="list">
      <formula1>"Pass,Fail,Pending"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4" customWidth="1" min="4" max="4"/>
    <col width="24" customWidth="1" min="5" max="5"/>
    <col width="24" customWidth="1" min="6" max="6"/>
    <col width="14" customWidth="1" min="7" max="7"/>
    <col width="40" customWidth="1" min="8" max="8"/>
    <col width="45" customWidth="1" min="9" max="9"/>
  </cols>
  <sheetData>
    <row r="1">
      <c r="A1" s="14" t="inlineStr">
        <is>
          <t>TEST REPORT</t>
        </is>
      </c>
    </row>
    <row r="2">
      <c r="C2" s="15" t="inlineStr">
        <is>
          <t>Ngọc Việt</t>
        </is>
      </c>
      <c r="D2" s="15" t="inlineStr">
        <is>
          <t>Total</t>
        </is>
      </c>
    </row>
    <row r="3">
      <c r="A3" s="15" t="inlineStr">
        <is>
          <t>Executed</t>
        </is>
      </c>
      <c r="B3" s="9" t="inlineStr">
        <is>
          <t>Passed</t>
        </is>
      </c>
      <c r="C3" s="11">
        <f>'Giao diện Admin Web'!$H$38</f>
        <v/>
      </c>
      <c r="D3" s="15">
        <f>SUM(C3:C3)</f>
        <v/>
      </c>
    </row>
    <row r="4">
      <c r="A4" s="16" t="n"/>
      <c r="B4" s="9" t="inlineStr">
        <is>
          <t>Failed</t>
        </is>
      </c>
      <c r="C4" s="11">
        <f>'Giao diện Admin Web'!$H$39</f>
        <v/>
      </c>
      <c r="D4" s="15">
        <f>SUM(C4:C4)</f>
        <v/>
      </c>
    </row>
    <row r="5">
      <c r="A5" s="17" t="n"/>
      <c r="B5" s="9" t="inlineStr">
        <is>
          <t>(Total) Test executed (Passed + Failed)</t>
        </is>
      </c>
      <c r="C5" s="11">
        <f>C3+C4</f>
        <v/>
      </c>
      <c r="D5" s="15">
        <f>SUM(C5:C5)</f>
        <v/>
      </c>
    </row>
    <row r="6">
      <c r="A6" s="15" t="inlineStr">
        <is>
          <t>Pending</t>
        </is>
      </c>
      <c r="B6" s="10" t="inlineStr"/>
      <c r="C6" s="11">
        <f>'Giao diện Admin Web'!$H$40</f>
        <v/>
      </c>
      <c r="D6" s="15">
        <f>SUM(C6:C6)</f>
        <v/>
      </c>
    </row>
    <row r="7">
      <c r="A7" s="15" t="inlineStr">
        <is>
          <t>(Sub-total) Test Planned</t>
        </is>
      </c>
      <c r="B7" s="10" t="inlineStr"/>
      <c r="C7" s="11">
        <f>C5+C6</f>
        <v/>
      </c>
      <c r="D7" s="15">
        <f>SUM(C7:C7)</f>
        <v/>
      </c>
    </row>
    <row r="10">
      <c r="A10" s="5" t="inlineStr">
        <is>
          <t>Function</t>
        </is>
      </c>
      <c r="B10" s="5" t="inlineStr">
        <is>
          <t>Description</t>
        </is>
      </c>
      <c r="C10" s="5" t="inlineStr">
        <is>
          <t>Sheet Name</t>
        </is>
      </c>
      <c r="D10" s="5" t="inlineStr">
        <is>
          <t>% TCs Executed</t>
        </is>
      </c>
      <c r="E10" s="5" t="inlineStr">
        <is>
          <t>% TCs Passed</t>
        </is>
      </c>
      <c r="F10" s="5" t="inlineStr">
        <is>
          <t>% TCs Failed</t>
        </is>
      </c>
      <c r="G10" s="5" t="inlineStr">
        <is>
          <t>Priority</t>
        </is>
      </c>
      <c r="H10" s="5" t="inlineStr">
        <is>
          <t>Remarks</t>
        </is>
      </c>
      <c r="I10" s="5" t="inlineStr">
        <is>
          <t>Done by</t>
        </is>
      </c>
    </row>
    <row r="11" ht="107" customHeight="1">
      <c r="A11" s="11" t="inlineStr">
        <is>
          <t>Giao diện Admin Web (theme dashboard)</t>
        </is>
      </c>
      <c r="B11" s="10" t="inlineStr">
        <is>
          <t>Thiết kế lại giao diện khu /dashboard của Admin Web theo phong cách sky dashboard; không đổi logic, dữ liệu và trang Login</t>
        </is>
      </c>
      <c r="C11" s="11" t="inlineStr">
        <is>
          <t>Giao diện Admin Web</t>
        </is>
      </c>
      <c r="D11" s="18">
        <f>IFERROR(('Giao diện Admin Web'!$H$41-'Giao diện Admin Web'!$H$40)/'Giao diện Admin Web'!$H$41,0)</f>
        <v/>
      </c>
      <c r="E11" s="18">
        <f>IFERROR('Giao diện Admin Web'!$H$38/'Giao diện Admin Web'!$H$41,0)</f>
        <v/>
      </c>
      <c r="F11" s="18">
        <f>IFERROR('Giao diện Admin Web'!$H$39/'Giao diện Admin Web'!$H$41,0)</f>
        <v/>
      </c>
      <c r="G11" s="11" t="inlineStr">
        <is>
          <t>Medium</t>
        </is>
      </c>
      <c r="H11" s="10" t="inlineStr">
        <is>
          <t>Kiểm tự động bằng Chrome headless (CDP) trên dev server với cookie phiên test ở localhost, dữ liệu dashboard là dữ liệu tĩnh của frontend. Chưa kiểm đăng nhập thật qua backend và chưa kiểm trên Firefox/Safari (Pending).</t>
        </is>
      </c>
      <c r="I11" s="11" t="inlineStr">
        <is>
          <t>Ngọc Việt</t>
        </is>
      </c>
    </row>
    <row r="34">
      <c r="A34" s="19" t="inlineStr">
        <is>
          <t>Bug Report</t>
        </is>
      </c>
    </row>
    <row r="35">
      <c r="A35" s="20" t="inlineStr">
        <is>
          <t>Bug ID</t>
        </is>
      </c>
      <c r="B35" s="20" t="inlineStr">
        <is>
          <t>Description</t>
        </is>
      </c>
      <c r="C35" s="20" t="inlineStr">
        <is>
          <t>Steps to Reproduce</t>
        </is>
      </c>
      <c r="D35" s="20" t="inlineStr">
        <is>
          <t>Input Data</t>
        </is>
      </c>
      <c r="E35" s="20" t="inlineStr">
        <is>
          <t>Expected Result</t>
        </is>
      </c>
      <c r="F35" s="20" t="inlineStr">
        <is>
          <t>Actual Result</t>
        </is>
      </c>
      <c r="G35" s="20" t="inlineStr">
        <is>
          <t>Severity</t>
        </is>
      </c>
      <c r="H35" s="20" t="inlineStr">
        <is>
          <t>Name of Tester</t>
        </is>
      </c>
      <c r="I35" s="20" t="inlineStr">
        <is>
          <t>Logs</t>
        </is>
      </c>
    </row>
  </sheetData>
  <mergeCells count="2">
    <mergeCell ref="A1:G1"/>
    <mergeCell ref="A3:A5"/>
  </mergeCells>
  <conditionalFormatting sqref="F11">
    <cfRule type="cellIs" priority="1" operator="greaterThan" dxfId="0">
      <formula>0.2</formula>
    </cfRule>
  </conditionalFormatting>
  <conditionalFormatting sqref="G11">
    <cfRule type="expression" priority="2" dxfId="0">
      <formula>OR(G11="Critical",G11="High")</formula>
    </cfRule>
  </conditionalFormatting>
  <conditionalFormatting sqref="G36">
    <cfRule type="cellIs" priority="3" operator="equal" dxfId="1">
      <formula>"Critical"</formula>
    </cfRule>
    <cfRule type="cellIs" priority="4" operator="equal" dxfId="2">
      <formula>"High"</formula>
    </cfRule>
    <cfRule type="cellIs" priority="5" operator="equal" dxfId="3">
      <formula>"Medium"</formula>
    </cfRule>
  </conditionalFormatting>
  <dataValidations count="2">
    <dataValidation sqref="G11" showDropDown="0" showInputMessage="0" showErrorMessage="0" allowBlank="1" type="list">
      <formula1>"Critical,High,Medium,Low"</formula1>
    </dataValidation>
    <dataValidation sqref="G36" showDropDown="0" showInputMessage="0" showErrorMessage="0" allowBlank="1" type="list">
      <formula1>"Critical,High,Medium,Low"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2026-10-26T07:57:14Z</dcterms:created>
  <dcterms:modified xsi:type="dcterms:W3CDTF">2026-10-26T07:57:14Z</dcterms:modified>
</cp:coreProperties>
</file>