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CR Prototype" sheetId="1" state="visible" r:id="rId1"/>
    <sheet xmlns:r="http://schemas.openxmlformats.org/officeDocument/2006/relationships" name="OCR Dataset" sheetId="2" state="visible" r:id="rId2"/>
    <sheet xmlns:r="http://schemas.openxmlformats.org/officeDocument/2006/relationships" name="Report" sheetId="3" state="visible" r:id="rId3"/>
  </sheets>
  <definedNames>
    <definedName name="_xlnm._FilterDatabase" localSheetId="0" hidden="1">'OCR Prototype'!$A$8:$I$16</definedName>
    <definedName name="_xlnm._FilterDatabase" localSheetId="1" hidden="1">'OCR Dataset'!$A$8:$I$56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7">
    <font>
      <name val="Calibri"/>
      <family val="2"/>
      <color theme="1"/>
      <sz val="11"/>
      <scheme val="minor"/>
    </font>
    <font>
      <name val="Times New Roman"/>
      <b val="1"/>
      <sz val="12"/>
    </font>
    <font>
      <name val="Times New Roman"/>
      <sz val="12"/>
    </font>
    <font>
      <name val="Times New Roman"/>
      <b val="1"/>
      <sz val="11"/>
    </font>
    <font>
      <name val="Times New Roman"/>
      <sz val="11"/>
    </font>
    <font>
      <name val="Times New Roman"/>
      <b val="1"/>
      <sz val="18"/>
    </font>
    <font>
      <name val="Times New Roman"/>
      <b val="1"/>
      <sz val="14"/>
    </font>
  </fonts>
  <fills count="5">
    <fill>
      <patternFill/>
    </fill>
    <fill>
      <patternFill patternType="gray125"/>
    </fill>
    <fill>
      <patternFill patternType="solid">
        <fgColor rgb="006AA84F"/>
      </patternFill>
    </fill>
    <fill>
      <patternFill patternType="solid">
        <fgColor rgb="00A8D08D"/>
      </patternFill>
    </fill>
    <fill>
      <patternFill patternType="solid">
        <fgColor rgb="00FFFF00"/>
      </patternFill>
    </fill>
  </fills>
  <borders count="6">
    <border>
      <left/>
      <right/>
      <top/>
      <bottom/>
      <diagonal/>
    </border>
    <border>
      <left style="medium"/>
      <right style="medium"/>
      <top style="medium"/>
      <bottom style="medium"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165" fontId="2" fillId="2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1" fillId="0" borderId="2" applyAlignment="1" pivotButton="0" quotePrefix="0" xfId="0">
      <alignment horizontal="left" vertical="center" wrapText="1"/>
    </xf>
    <xf numFmtId="0" fontId="2" fillId="0" borderId="2" applyAlignment="1" pivotButton="0" quotePrefix="0" xfId="0">
      <alignment horizontal="left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left" vertical="center" wrapText="1"/>
    </xf>
    <xf numFmtId="0" fontId="2" fillId="0" borderId="2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9" fontId="2" fillId="0" borderId="2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0" fontId="3" fillId="4" borderId="2" applyAlignment="1" pivotButton="0" quotePrefix="0" xfId="0">
      <alignment horizontal="center" vertical="center" wrapText="1"/>
    </xf>
  </cellXfs>
  <cellStyles count="1">
    <cellStyle name="Normal" xfId="0" builtinId="0" hidden="0"/>
  </cellStyles>
  <dxfs count="4">
    <dxf>
      <font>
        <color rgb="009C0006"/>
      </font>
      <fill>
        <patternFill patternType="solid">
          <bgColor rgb="00FFC7CE"/>
        </patternFill>
      </fill>
    </dxf>
    <dxf>
      <font>
        <b val="1"/>
        <color rgb="00FFFFFF"/>
      </font>
      <fill>
        <patternFill patternType="solid">
          <bgColor rgb="00C00000"/>
        </patternFill>
      </fill>
    </dxf>
    <dxf>
      <font>
        <b val="1"/>
        <color rgb="00FFFFFF"/>
      </font>
      <fill>
        <patternFill patternType="solid">
          <bgColor rgb="00FF0000"/>
        </patternFill>
      </fill>
    </dxf>
    <dxf>
      <font>
        <b val="1"/>
        <color rgb="00000000"/>
      </font>
      <fill>
        <patternFill patternType="solid">
          <bgColor rgb="00FFE59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Kết quả theo chức năng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'Report'!D10</f>
            </strRef>
          </tx>
          <spPr>
            <a:ln xmlns:a="http://schemas.openxmlformats.org/drawingml/2006/main">
              <a:prstDash val="solid"/>
            </a:ln>
          </spPr>
          <cat>
            <numRef>
              <f>'Report'!$A$11:$A$12</f>
            </numRef>
          </cat>
          <val>
            <numRef>
              <f>'Report'!$D$11:$D$12</f>
            </numRef>
          </val>
        </ser>
        <ser>
          <idx val="1"/>
          <order val="1"/>
          <tx>
            <strRef>
              <f>'Report'!E10</f>
            </strRef>
          </tx>
          <spPr>
            <a:ln xmlns:a="http://schemas.openxmlformats.org/drawingml/2006/main">
              <a:prstDash val="solid"/>
            </a:ln>
          </spPr>
          <cat>
            <numRef>
              <f>'Report'!$A$11:$A$12</f>
            </numRef>
          </cat>
          <val>
            <numRef>
              <f>'Report'!$E$11:$E$12</f>
            </numRef>
          </val>
        </ser>
        <ser>
          <idx val="2"/>
          <order val="2"/>
          <tx>
            <strRef>
              <f>'Report'!F10</f>
            </strRef>
          </tx>
          <spPr>
            <a:ln xmlns:a="http://schemas.openxmlformats.org/drawingml/2006/main">
              <a:prstDash val="solid"/>
            </a:ln>
          </spPr>
          <cat>
            <numRef>
              <f>'Report'!$A$11:$A$12</f>
            </numRef>
          </cat>
          <val>
            <numRef>
              <f>'Report'!$F$11:$F$12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/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Tổng Pass / Fail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'Report'!$B$3:$B$4</f>
            </numRef>
          </cat>
          <val>
            <numRef>
              <f>'Report'!$D$3:$D$4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14</row>
      <rowOff>0</rowOff>
    </from>
    <ext cx="864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14</row>
      <rowOff>0</rowOff>
    </from>
    <ext cx="432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32" customWidth="1" min="3" max="3"/>
    <col width="50" customWidth="1" min="4" max="4"/>
    <col width="32" customWidth="1" min="5" max="5"/>
    <col width="45" customWidth="1" min="6" max="6"/>
    <col width="45" customWidth="1" min="7" max="7"/>
    <col width="12" customWidth="1" min="8" max="8"/>
    <col width="34" customWidth="1" min="9" max="9"/>
    <col width="22" customWidth="1" min="11" max="11"/>
    <col width="34" customWidth="1" min="12" max="12"/>
    <col width="7" customWidth="1" min="13" max="13"/>
    <col width="34" customWidth="1" min="14" max="14"/>
    <col width="7" customWidth="1" min="15" max="15"/>
  </cols>
  <sheetData>
    <row r="1">
      <c r="A1" s="1" t="inlineStr">
        <is>
          <t>Project Name</t>
        </is>
      </c>
      <c r="B1" s="2" t="inlineStr">
        <is>
          <t>DrugTime</t>
        </is>
      </c>
    </row>
    <row r="2">
      <c r="A2" s="1" t="inlineStr">
        <is>
          <t>Module Name</t>
        </is>
      </c>
      <c r="B2" s="2" t="inlineStr">
        <is>
          <t>Prototype ML Kit Android (OCRP)</t>
        </is>
      </c>
    </row>
    <row r="3">
      <c r="A3" s="1" t="inlineStr">
        <is>
          <t>Created By</t>
        </is>
      </c>
      <c r="B3" s="2" t="inlineStr">
        <is>
          <t>Bao Nguyen</t>
        </is>
      </c>
    </row>
    <row r="4">
      <c r="A4" s="1" t="inlineStr">
        <is>
          <t>Creation Date</t>
        </is>
      </c>
      <c r="B4" s="3" t="n">
        <v>46323</v>
      </c>
    </row>
    <row r="5">
      <c r="A5" s="1" t="inlineStr">
        <is>
          <t>Reviewed By</t>
        </is>
      </c>
      <c r="B5" s="2" t="inlineStr"/>
    </row>
    <row r="6">
      <c r="A6" s="1" t="inlineStr">
        <is>
          <t>Reviewed Date</t>
        </is>
      </c>
      <c r="B6" s="2" t="n"/>
    </row>
    <row r="7">
      <c r="K7" s="4" t="inlineStr">
        <is>
          <t>Equivalence Partitioning</t>
        </is>
      </c>
    </row>
    <row r="8">
      <c r="A8" s="1" t="inlineStr">
        <is>
          <t>Test Case ID</t>
        </is>
      </c>
      <c r="B8" s="1" t="inlineStr">
        <is>
          <t>Description</t>
        </is>
      </c>
      <c r="C8" s="1" t="inlineStr">
        <is>
          <t>Precondition</t>
        </is>
      </c>
      <c r="D8" s="1" t="inlineStr">
        <is>
          <t>Test Steps</t>
        </is>
      </c>
      <c r="E8" s="1" t="inlineStr">
        <is>
          <t>Test Data</t>
        </is>
      </c>
      <c r="F8" s="1" t="inlineStr">
        <is>
          <t>Expected Result</t>
        </is>
      </c>
      <c r="G8" s="1" t="inlineStr">
        <is>
          <t>Actual Result</t>
        </is>
      </c>
      <c r="H8" s="1" t="inlineStr">
        <is>
          <t>Status</t>
        </is>
      </c>
      <c r="I8" s="1" t="inlineStr">
        <is>
          <t>Comments(if any)</t>
        </is>
      </c>
      <c r="K8" s="5" t="inlineStr">
        <is>
          <t>Field</t>
        </is>
      </c>
      <c r="L8" s="5" t="inlineStr">
        <is>
          <t>Valid</t>
        </is>
      </c>
      <c r="M8" s="5" t="inlineStr">
        <is>
          <t>Num</t>
        </is>
      </c>
      <c r="N8" s="5" t="inlineStr">
        <is>
          <t>Invalid</t>
        </is>
      </c>
      <c r="O8" s="5" t="inlineStr">
        <is>
          <t>Num</t>
        </is>
      </c>
    </row>
    <row r="9" ht="74" customHeight="1">
      <c r="A9" s="6" t="inlineStr">
        <is>
          <t>TC-OCRP-01</t>
        </is>
      </c>
      <c r="B9" s="6" t="inlineStr">
        <is>
          <t>Chạy ML Kit native trên thiết bị Android bắt buộc</t>
        </is>
      </c>
      <c r="C9" s="7" t="inlineStr">
        <is>
          <t>Thiết bị Android test được phép thao tác; không dùng app/data của người khác.</t>
        </is>
      </c>
      <c r="D9" s="7" t="inlineStr">
        <is>
          <t>1. Mở prototype Android.
2. Nhập đúng image_id và model/OS/SDK/revision.
3. Chọn ảnh và chạy OCR.</t>
        </is>
      </c>
      <c r="E9" s="7" t="inlineStr">
        <is>
          <t>Ảnh gốc decolgen_forte_box_001; metadata thực</t>
        </is>
      </c>
      <c r="F9" s="7" t="inlineStr">
        <is>
          <t>Có ảnh/raw/status/timing thật, không backend; ghi rõ emulator/điện thoại đã kiểm.</t>
        </is>
      </c>
      <c r="G9" s="7" t="inlineStr"/>
      <c r="H9" s="6" t="inlineStr">
        <is>
          <t>Pending</t>
        </is>
      </c>
      <c r="I9" s="7" t="inlineStr">
        <is>
          <t>AC1 · EP (1) · manual · chưa chạy mới trong phiên này</t>
        </is>
      </c>
      <c r="K9" s="8" t="inlineStr">
        <is>
          <t>Ảnh đầu vào</t>
        </is>
      </c>
      <c r="L9" s="9" t="inlineStr">
        <is>
          <t>Ảnh JPG bao bì đọc được</t>
        </is>
      </c>
      <c r="M9" s="9" t="inlineStr">
        <is>
          <t>1</t>
        </is>
      </c>
      <c r="N9" s="9" t="inlineStr">
        <is>
          <t>Hủy chọn (blank)
Ảnh hỏng/không đọc được</t>
        </is>
      </c>
      <c r="O9" s="9" t="inlineStr">
        <is>
          <t>2
3</t>
        </is>
      </c>
    </row>
    <row r="10" ht="74" customHeight="1">
      <c r="A10" s="6" t="inlineStr">
        <is>
          <t>TC-OCRP-02</t>
        </is>
      </c>
      <c r="B10" s="6" t="inlineStr">
        <is>
          <t>Xuất JSON qua native share sheet và đọc ngoài app</t>
        </is>
      </c>
      <c r="C10" s="7" t="inlineStr">
        <is>
          <t>Thiết bị Android test được phép thao tác; không dùng app/data của người khác.</t>
        </is>
      </c>
      <c r="D10" s="7" t="inlineStr">
        <is>
          <t>1. Bấm xuất JSON trong prototype.
2. Lưu/chia sẻ ra ngoài app rồi đọc lại trên máy tính.
3. So từng ký tự và thử hủy share.</t>
        </is>
      </c>
      <c r="E10" s="7" t="inlineStr">
        <is>
          <t>Một run có chữ, runId riêng</t>
        </is>
      </c>
      <c r="F10" s="7" t="inlineStr">
        <is>
          <t>Raw/newline/metadata đủ, hủy không mất bản đã lưu.</t>
        </is>
      </c>
      <c r="G10" s="7" t="inlineStr"/>
      <c r="H10" s="6" t="inlineStr">
        <is>
          <t>Pending</t>
        </is>
      </c>
      <c r="I10" s="7" t="inlineStr">
        <is>
          <t>AC2 · Chuyển trạng thái share · manual · chưa chạy mới trong phiên này</t>
        </is>
      </c>
    </row>
    <row r="11" ht="57.5" customHeight="1">
      <c r="A11" s="6" t="inlineStr">
        <is>
          <t>TC-OCRP-03</t>
        </is>
      </c>
      <c r="B11" s="6" t="inlineStr">
        <is>
          <t>Phân biệt ảnh không chữ trong native OCR</t>
        </is>
      </c>
      <c r="C11" s="7" t="inlineStr">
        <is>
          <t>Thiết bị Android test được phép thao tác; không dùng app/data của người khác.</t>
        </is>
      </c>
      <c r="D11" s="7" t="inlineStr">
        <is>
          <t>1. Chọn ảnh trắng.
2. Chạy OCR.
3. Thử tiếp ảnh có chữ.</t>
        </is>
      </c>
      <c r="E11" s="7" t="inlineStr">
        <is>
          <t>Ảnh trắng, đúng định dạng</t>
        </is>
      </c>
      <c r="F11" s="7" t="inlineStr">
        <is>
          <t>no_text rõ, không crash, thử ảnh khác được.</t>
        </is>
      </c>
      <c r="G11" s="7" t="inlineStr"/>
      <c r="H11" s="6" t="inlineStr">
        <is>
          <t>Pending</t>
        </is>
      </c>
      <c r="I11" s="7" t="inlineStr">
        <is>
          <t>AC3 · Phân lớp tương đương · manual · chưa chạy mới trong phiên này</t>
        </is>
      </c>
    </row>
    <row r="12" ht="57.5" customHeight="1">
      <c r="A12" s="6" t="inlineStr">
        <is>
          <t>TC-OCRP-04</t>
        </is>
      </c>
      <c r="B12" s="6" t="inlineStr">
        <is>
          <t>Từ chối ảnh hỏng hoặc không truy cập được</t>
        </is>
      </c>
      <c r="C12" s="7" t="inlineStr">
        <is>
          <t>Thiết bị Android test được phép thao tác; không dùng app/data của người khác.</t>
        </is>
      </c>
      <c r="D12" s="7" t="inlineStr">
        <is>
          <t>1. Chọn file lỗi qua luồng phù hợp.
2. Quan sát lỗi.
3. Chọn lại ảnh hợp lệ.</t>
        </is>
      </c>
      <c r="E12" s="7" t="inlineStr">
        <is>
          <t>File .jpg byte hỏng hoặc quyền đọc bị từ chối</t>
        </is>
      </c>
      <c r="F12" s="7" t="inlineStr">
        <is>
          <t>input_error rõ, không crash, có thể thử lại.</t>
        </is>
      </c>
      <c r="G12" s="7" t="inlineStr"/>
      <c r="H12" s="6" t="inlineStr">
        <is>
          <t>Pending</t>
        </is>
      </c>
      <c r="I12" s="7" t="inlineStr">
        <is>
          <t>AC3 · EP (3) · manual · chưa chạy mới trong phiên này</t>
        </is>
      </c>
    </row>
    <row r="13" ht="57.5" customHeight="1">
      <c r="A13" s="6" t="inlineStr">
        <is>
          <t>TC-OCRP-05</t>
        </is>
      </c>
      <c r="B13" s="6" t="inlineStr">
        <is>
          <t>Hủy chọn ảnh mà không tạo run OCR</t>
        </is>
      </c>
      <c r="C13" s="7" t="inlineStr">
        <is>
          <t>Thiết bị Android test được phép thao tác; không dùng app/data của người khác.</t>
        </is>
      </c>
      <c r="D13" s="7" t="inlineStr">
        <is>
          <t>1. Mở chọn ảnh.
2. Bấm Back để hủy.
3. Kiểm tra history.</t>
        </is>
      </c>
      <c r="E13" s="7" t="inlineStr">
        <is>
          <t>(blank) do bấm Back ở picker</t>
        </is>
      </c>
      <c r="F13" s="7" t="inlineStr">
        <is>
          <t>Không tạo run/lỗi OCR giả; trạng thái dùng tiếp được.</t>
        </is>
      </c>
      <c r="G13" s="7" t="inlineStr"/>
      <c r="H13" s="6" t="inlineStr">
        <is>
          <t>Pending</t>
        </is>
      </c>
      <c r="I13" s="7" t="inlineStr">
        <is>
          <t>AC3 · EP (2) · manual · chưa chạy mới trong phiên này</t>
        </is>
      </c>
    </row>
    <row r="14" ht="57.5" customHeight="1">
      <c r="A14" s="6" t="inlineStr">
        <is>
          <t>TC-OCRP-06</t>
        </is>
      </c>
      <c r="B14" s="6" t="inlineStr">
        <is>
          <t>Bấm lặp, Back, background và thử lại khi OCR đang chạy</t>
        </is>
      </c>
      <c r="C14" s="7" t="inlineStr">
        <is>
          <t>Thiết bị Android test được phép thao tác; không dùng app/data của người khác.</t>
        </is>
      </c>
      <c r="D14" s="7" t="inlineStr">
        <is>
          <t>1. Bắt đầu OCR rồi bấm lặp.
2. Rời màn hình/background và mở lại.
3. Kiểm run/ảnh/raw tương ứng; thử lại.</t>
        </is>
      </c>
      <c r="E14" s="7" t="inlineStr">
        <is>
          <t>Ảnh đang xử lý; double tap; Back; background/process death</t>
        </is>
      </c>
      <c r="F14" s="7" t="inlineStr">
        <is>
          <t>Không chạy chồng/gán sai ảnh/cập nhật màn đóng; tài nguyên giải phóng đúng.</t>
        </is>
      </c>
      <c r="G14" s="7" t="inlineStr"/>
      <c r="H14" s="6" t="inlineStr">
        <is>
          <t>Pending</t>
        </is>
      </c>
      <c r="I14" s="7" t="inlineStr">
        <is>
          <t>AC4 · Chuyển trạng thái · manual · chưa chạy mới trong phiên này</t>
        </is>
      </c>
    </row>
    <row r="15" ht="57.5" customHeight="1">
      <c r="A15" s="6" t="inlineStr">
        <is>
          <t>TC-OCRP-07</t>
        </is>
      </c>
      <c r="B15" s="6" t="inlineStr">
        <is>
          <t>Kiểm xử lý ảnh offline không mutation thuốc</t>
        </is>
      </c>
      <c r="C15" s="7" t="inlineStr">
        <is>
          <t>Thiết bị Android test được phép thao tác; không dùng app/data của người khác.</t>
        </is>
      </c>
      <c r="D15" s="7" t="inlineStr">
        <is>
          <t>1. Tắt mạng trên thiết bị test.
2. Chạy OCR bao bì.
3. Kiểm log mạng và luồng không tạo thuốc.</t>
        </is>
      </c>
      <c r="E15" s="7" t="inlineStr">
        <is>
          <t>Tắt Wi-Fi/mobile data sau chuẩn bị plugin/model</t>
        </is>
      </c>
      <c r="F15" s="7" t="inlineStr">
        <is>
          <t>Nhận diện on-device; không gửi ảnh/backend/nhãn cho engine, không tạo thuốc.</t>
        </is>
      </c>
      <c r="G15" s="7" t="inlineStr"/>
      <c r="H15" s="6" t="inlineStr">
        <is>
          <t>Pending</t>
        </is>
      </c>
      <c r="I15" s="7" t="inlineStr">
        <is>
          <t>AC6 · Kiểm offline · manual · chưa chạy mới trong phiên này</t>
        </is>
      </c>
    </row>
    <row r="16" ht="57.5" customHeight="1">
      <c r="A16" s="6" t="inlineStr">
        <is>
          <t>TC-OCRP-08</t>
        </is>
      </c>
      <c r="B16" s="6" t="inlineStr">
        <is>
          <t>Đối chiếu ảnh vỉ nghiêng với ảnh đối chứng</t>
        </is>
      </c>
      <c r="C16" s="7" t="inlineStr">
        <is>
          <t>Thiết bị Android test được phép thao tác; không dùng app/data của người khác.</t>
        </is>
      </c>
      <c r="D16" s="7" t="inlineStr">
        <is>
          <t>1. Giữ nguyên ảnh gốc và đặt ID riêng.
2. Chạy cả ảnh nghiêng và đối chứng; lưu raw.
3. So vùng tên/điều kiện, không tự quy góc số.</t>
        </is>
      </c>
      <c r="E16" s="7" t="inlineStr">
        <is>
          <t>Ảnh vỉ hướng 1 giờ/7 giờ và ảnh đối chứng cùng chữ nhìn thấy</t>
        </is>
      </c>
      <c r="F16" s="7" t="inlineStr">
        <is>
          <t>Ghi đúng chất lượng/tên thiếu hoặc tách xa và hạn chế; không khẳng định nguyên nhân khi chưa có đối chứng.</t>
        </is>
      </c>
      <c r="G16" s="7" t="inlineStr"/>
      <c r="H16" s="6" t="inlineStr">
        <is>
          <t>Pending</t>
        </is>
      </c>
      <c r="I16" s="7" t="inlineStr">
        <is>
          <t>AC5, AC8 · manual · OCR-TILT-01 · manual · chưa chạy mới trong phiên này</t>
        </is>
      </c>
    </row>
    <row r="17"/>
    <row r="18"/>
    <row r="19">
      <c r="G19" s="10" t="inlineStr">
        <is>
          <t>Pass</t>
        </is>
      </c>
      <c r="H19" s="11">
        <f>COUNTIF(H9:H16,"Pass")</f>
        <v/>
      </c>
    </row>
    <row r="20">
      <c r="G20" s="10" t="inlineStr">
        <is>
          <t>Fail</t>
        </is>
      </c>
      <c r="H20" s="11">
        <f>COUNTIF(H9:H16,"Fail")</f>
        <v/>
      </c>
    </row>
    <row r="21">
      <c r="G21" s="10" t="inlineStr">
        <is>
          <t>Pending</t>
        </is>
      </c>
      <c r="H21" s="11">
        <f>COUNTIF(H9:H16,"Pending")</f>
        <v/>
      </c>
    </row>
    <row r="22">
      <c r="G22" s="10" t="inlineStr">
        <is>
          <t>Total</t>
        </is>
      </c>
      <c r="H22" s="11">
        <f>SUM(H19:H21)</f>
        <v/>
      </c>
    </row>
  </sheetData>
  <autoFilter ref="A8:I16"/>
  <conditionalFormatting sqref="H9:H16">
    <cfRule type="cellIs" priority="1" operator="equal" dxfId="0">
      <formula>"Fail"</formula>
    </cfRule>
  </conditionalFormatting>
  <dataValidations count="1">
    <dataValidation sqref="H9:H16" showDropDown="0" showInputMessage="0" showErrorMessage="0" allowBlank="0" type="list">
      <formula1>"Pass,Fail,Pending"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62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32" customWidth="1" min="3" max="3"/>
    <col width="50" customWidth="1" min="4" max="4"/>
    <col width="32" customWidth="1" min="5" max="5"/>
    <col width="45" customWidth="1" min="6" max="6"/>
    <col width="45" customWidth="1" min="7" max="7"/>
    <col width="12" customWidth="1" min="8" max="8"/>
    <col width="34" customWidth="1" min="9" max="9"/>
    <col width="22" customWidth="1" min="11" max="11"/>
    <col width="34" customWidth="1" min="12" max="12"/>
    <col width="7" customWidth="1" min="13" max="13"/>
    <col width="34" customWidth="1" min="14" max="14"/>
    <col width="7" customWidth="1" min="15" max="15"/>
    <col width="34" customWidth="1" min="17" max="17"/>
    <col width="8" customWidth="1" min="18" max="18"/>
    <col width="8" customWidth="1" min="19" max="19"/>
    <col width="8" customWidth="1" min="20" max="20"/>
  </cols>
  <sheetData>
    <row r="1">
      <c r="A1" s="1" t="inlineStr">
        <is>
          <t>Project Name</t>
        </is>
      </c>
      <c r="B1" s="2" t="inlineStr">
        <is>
          <t>DrugTime</t>
        </is>
      </c>
    </row>
    <row r="2">
      <c r="A2" s="1" t="inlineStr">
        <is>
          <t>Module Name</t>
        </is>
      </c>
      <c r="B2" s="2" t="inlineStr">
        <is>
          <t>Nhập và đánh giá OCR dataset (OCRD)</t>
        </is>
      </c>
    </row>
    <row r="3">
      <c r="A3" s="1" t="inlineStr">
        <is>
          <t>Created By</t>
        </is>
      </c>
      <c r="B3" s="2" t="inlineStr">
        <is>
          <t>Bao Nguyen</t>
        </is>
      </c>
    </row>
    <row r="4">
      <c r="A4" s="1" t="inlineStr">
        <is>
          <t>Creation Date</t>
        </is>
      </c>
      <c r="B4" s="3" t="n">
        <v>46323</v>
      </c>
    </row>
    <row r="5">
      <c r="A5" s="1" t="inlineStr">
        <is>
          <t>Reviewed By</t>
        </is>
      </c>
      <c r="B5" s="2" t="inlineStr"/>
    </row>
    <row r="6">
      <c r="A6" s="1" t="inlineStr">
        <is>
          <t>Reviewed Date</t>
        </is>
      </c>
      <c r="B6" s="2" t="n"/>
    </row>
    <row r="7">
      <c r="K7" s="4" t="inlineStr">
        <is>
          <t>Equivalence Partitioning</t>
        </is>
      </c>
      <c r="Q7" s="4" t="inlineStr">
        <is>
          <t>Nhập raw không ghi đè</t>
        </is>
      </c>
    </row>
    <row r="8">
      <c r="A8" s="1" t="inlineStr">
        <is>
          <t>Test Case ID</t>
        </is>
      </c>
      <c r="B8" s="1" t="inlineStr">
        <is>
          <t>Description</t>
        </is>
      </c>
      <c r="C8" s="1" t="inlineStr">
        <is>
          <t>Precondition</t>
        </is>
      </c>
      <c r="D8" s="1" t="inlineStr">
        <is>
          <t>Test Steps</t>
        </is>
      </c>
      <c r="E8" s="1" t="inlineStr">
        <is>
          <t>Test Data</t>
        </is>
      </c>
      <c r="F8" s="1" t="inlineStr">
        <is>
          <t>Expected Result</t>
        </is>
      </c>
      <c r="G8" s="1" t="inlineStr">
        <is>
          <t>Actual Result</t>
        </is>
      </c>
      <c r="H8" s="1" t="inlineStr">
        <is>
          <t>Status</t>
        </is>
      </c>
      <c r="I8" s="1" t="inlineStr">
        <is>
          <t>Comments(if any)</t>
        </is>
      </c>
      <c r="K8" s="5" t="inlineStr">
        <is>
          <t>Field</t>
        </is>
      </c>
      <c r="L8" s="5" t="inlineStr">
        <is>
          <t>Valid</t>
        </is>
      </c>
      <c r="M8" s="5" t="inlineStr">
        <is>
          <t>Num</t>
        </is>
      </c>
      <c r="N8" s="5" t="inlineStr">
        <is>
          <t>Invalid</t>
        </is>
      </c>
      <c r="O8" s="5" t="inlineStr">
        <is>
          <t>Num</t>
        </is>
      </c>
      <c r="Q8" s="12" t="inlineStr">
        <is>
          <t>Rule</t>
        </is>
      </c>
      <c r="R8" s="5" t="inlineStr">
        <is>
          <t>R1</t>
        </is>
      </c>
      <c r="S8" s="5" t="inlineStr">
        <is>
          <t>R2</t>
        </is>
      </c>
      <c r="T8" s="5" t="inlineStr">
        <is>
          <t>R3</t>
        </is>
      </c>
    </row>
    <row r="9" ht="90.5" customHeight="1">
      <c r="A9" s="6" t="inlineStr">
        <is>
          <t>TC-OCRD-01</t>
        </is>
      </c>
      <c r="B9" s="6" t="inlineStr">
        <is>
          <t>Chặn benchmark khi byte ảnh thực đổi</t>
        </is>
      </c>
      <c r="C9" s="7" t="inlineStr">
        <is>
          <t>Đứng tại gốc repo; Python 3.10+; không cần bật Android. Fixture tạo trong TEMP.</t>
        </is>
      </c>
      <c r="D9" s="7" t="inlineStr">
        <is>
          <t>1. Chạy python -m unittest discover -s datasets/scripts -p test_evaluate_ocr.py -k test_benchmark_actual_image_change_is_pending -v
2. Đọc output và kiểm test cùng tên kết thúc ok. Fixture tự dọn sau chạy.</t>
        </is>
      </c>
      <c r="E9" s="7" t="inlineStr">
        <is>
          <t>Snapshot frozen, img1 bytes đổi thành changed</t>
        </is>
      </c>
      <c r="F9" s="7" t="inlineStr">
        <is>
          <t>pending với lỗi Actual dataset hash</t>
        </is>
      </c>
      <c r="G9" s="7" t="inlineStr">
        <is>
          <t>test_benchmark_actual_image_change_is_pending: ok trong bộ 41 test chạy ngày 2026-10-29 (1.113s).</t>
        </is>
      </c>
      <c r="H9" s="6" t="inlineStr">
        <is>
          <t>Pass</t>
        </is>
      </c>
      <c r="I9" s="7" t="inlineStr">
        <is>
          <t>AC7 · Chuyển trạng thái snapshot · test_benchmark_actual_image_change_is_pending · evidence/test-v1-unit.log</t>
        </is>
      </c>
      <c r="K9" s="8" t="inlineStr">
        <is>
          <t>Raw tên thuốc</t>
        </is>
      </c>
      <c r="L9" s="9" t="inlineStr">
        <is>
          <t>Cụm tên exact sau NFC/case/whitespace
Đủ token nhưng bị tách/đảo</t>
        </is>
      </c>
      <c r="M9" s="9" t="inlineStr">
        <is>
          <t>1
2</t>
        </is>
      </c>
      <c r="N9" s="9" t="inlineStr">
        <is>
          <t>Sai ký tự/thiếu tên
No text</t>
        </is>
      </c>
      <c r="O9" s="9" t="inlineStr">
        <is>
          <t>3
4</t>
        </is>
      </c>
      <c r="Q9" s="9" t="inlineStr">
        <is>
          <t>RunId đã tồn tại?</t>
        </is>
      </c>
      <c r="R9" s="13" t="inlineStr">
        <is>
          <t>No</t>
        </is>
      </c>
      <c r="S9" s="13" t="inlineStr">
        <is>
          <t>Yes</t>
        </is>
      </c>
      <c r="T9" s="13" t="inlineStr">
        <is>
          <t>Yes</t>
        </is>
      </c>
    </row>
    <row r="10" ht="90.5" customHeight="1">
      <c r="A10" s="6" t="inlineStr">
        <is>
          <t>TC-OCRD-02</t>
        </is>
      </c>
      <c r="B10" s="6" t="inlineStr">
        <is>
          <t>Áp ngưỡng frozen trên fixture đủ dữ liệu</t>
        </is>
      </c>
      <c r="C10" s="7" t="inlineStr">
        <is>
          <t>Đứng tại gốc repo; Python 3.10+; không cần bật Android. Fixture tạo trong TEMP.</t>
        </is>
      </c>
      <c r="D10" s="7" t="inlineStr">
        <is>
          <t>1. Chạy python -m unittest discover -s datasets/scripts -p test_evaluate_ocr.py -k test_benchmark_fixture_go_and_no_go -v
2. Đọc output và kiểm test cùng tên kết thúc ok. Fixture tự dọn sau chạy.</t>
        </is>
      </c>
      <c r="E10" s="7" t="inlineStr">
        <is>
          <t>threshold_name=1,latency&lt;=100; raw exact rồi raw wrong</t>
        </is>
      </c>
      <c r="F10" s="7" t="inlineStr">
        <is>
          <t>Fixture exact→go, wrong→no-go; không phải kết luận dataset thật</t>
        </is>
      </c>
      <c r="G10" s="7" t="inlineStr">
        <is>
          <t>test_benchmark_fixture_go_and_no_go: ok trong bộ 41 test chạy ngày 2026-10-29 (1.113s).</t>
        </is>
      </c>
      <c r="H10" s="6" t="inlineStr">
        <is>
          <t>Pass</t>
        </is>
      </c>
      <c r="I10" s="7" t="inlineStr">
        <is>
          <t>AC7 · BVA (ngưỡng 1) · test_benchmark_fixture_go_and_no_go · evidence/test-v1-unit.log</t>
        </is>
      </c>
      <c r="Q10" s="9" t="inlineStr">
        <is>
          <t>Byte giống bản đích?</t>
        </is>
      </c>
      <c r="R10" s="13" t="inlineStr">
        <is>
          <t>-</t>
        </is>
      </c>
      <c r="S10" s="13" t="inlineStr">
        <is>
          <t>Yes</t>
        </is>
      </c>
      <c r="T10" s="13" t="inlineStr">
        <is>
          <t>No</t>
        </is>
      </c>
    </row>
    <row r="11" ht="90.5" customHeight="1">
      <c r="A11" s="6" t="inlineStr">
        <is>
          <t>TC-OCRD-03</t>
        </is>
      </c>
      <c r="B11" s="6" t="inlineStr">
        <is>
          <t>Chặn kết luận benchmark khi thiếu protocol hoặc draft</t>
        </is>
      </c>
      <c r="C11" s="7" t="inlineStr">
        <is>
          <t>Đứng tại gốc repo; Python 3.10+; không cần bật Android. Fixture tạo trong TEMP.</t>
        </is>
      </c>
      <c r="D11" s="7" t="inlineStr">
        <is>
          <t>1. Chạy python -m unittest discover -s datasets/scripts -p test_evaluate_ocr.py -k test_benchmark_missing_or_draft_is_pending -v
2. Đọc output và kiểm test cùng tên kết thúc ok. Fixture tự dọn sau chạy.</t>
        </is>
      </c>
      <c r="E11" s="7" t="inlineStr">
        <is>
          <t>Không protocol/manifest; status=draft</t>
        </is>
      </c>
      <c r="F11" s="7" t="inlineStr">
        <is>
          <t>decision=pending, không go/no-go</t>
        </is>
      </c>
      <c r="G11" s="7" t="inlineStr">
        <is>
          <t>test_benchmark_missing_or_draft_is_pending: ok trong bộ 41 test chạy ngày 2026-10-29 (1.113s).</t>
        </is>
      </c>
      <c r="H11" s="6" t="inlineStr">
        <is>
          <t>Pass</t>
        </is>
      </c>
      <c r="I11" s="7" t="inlineStr">
        <is>
          <t>AC7, AC8 · Bảng quyết định · test_benchmark_missing_or_draft_is_pending · evidence/test-v1-unit.log</t>
        </is>
      </c>
      <c r="Q11" s="12" t="inlineStr">
        <is>
          <t>Action</t>
        </is>
      </c>
      <c r="R11" s="5" t="inlineStr">
        <is>
          <t>R1</t>
        </is>
      </c>
      <c r="S11" s="5" t="inlineStr">
        <is>
          <t>R2</t>
        </is>
      </c>
      <c r="T11" s="5" t="inlineStr">
        <is>
          <t>R3</t>
        </is>
      </c>
    </row>
    <row r="12" ht="107" customHeight="1">
      <c r="A12" s="6" t="inlineStr">
        <is>
          <t>TC-OCRD-04</t>
        </is>
      </c>
      <c r="B12" s="6" t="inlineStr">
        <is>
          <t>Chặn benchmark thiếu các điều kiện bằng chứng</t>
        </is>
      </c>
      <c r="C12" s="7" t="inlineStr">
        <is>
          <t>Đứng tại gốc repo; Python 3.10+; không cần bật Android. Fixture tạo trong TEMP.</t>
        </is>
      </c>
      <c r="D12" s="7" t="inlineStr">
        <is>
          <t>1. Chạy python -m unittest discover -s datasets/scripts -p test_evaluate_ocr.py -k test_benchmark_pre_freeze_config_coverage_verification_phase -v
2. Đọc output và kiểm test cùng tên kết thúc ok. Fixture tự dọn sau chạy.</t>
        </is>
      </c>
      <c r="E12" s="7" t="inlineStr">
        <is>
          <t>Run trước freeze; build khác; repetitions2; labels_verified=false; thiếu phase hoặc device</t>
        </is>
      </c>
      <c r="F12" s="7" t="inlineStr">
        <is>
          <t>Mỗi cấu hình thiếu đều pending, không có go giả</t>
        </is>
      </c>
      <c r="G12" s="7" t="inlineStr">
        <is>
          <t>test_benchmark_pre_freeze_config_coverage_verification_phase: ok trong bộ 41 test chạy ngày 2026-10-29 (1.113s).</t>
        </is>
      </c>
      <c r="H12" s="6" t="inlineStr">
        <is>
          <t>Pass</t>
        </is>
      </c>
      <c r="I12" s="7" t="inlineStr">
        <is>
          <t>AC7, AC8 · Bảng quyết định · test_benchmark_pre_freeze_config_coverage_verification_phase · evidence/test-v1-unit.log</t>
        </is>
      </c>
      <c r="Q12" s="9" t="inlineStr">
        <is>
          <t>Nhập nguyên byte</t>
        </is>
      </c>
      <c r="R12" s="13" t="inlineStr">
        <is>
          <t>X</t>
        </is>
      </c>
      <c r="S12" s="13" t="inlineStr"/>
      <c r="T12" s="13" t="inlineStr"/>
    </row>
    <row r="13" ht="90.5" customHeight="1">
      <c r="A13" s="6" t="inlineStr">
        <is>
          <t>TC-OCRD-05</t>
        </is>
      </c>
      <c r="B13" s="6" t="inlineStr">
        <is>
          <t>Bảo vệ dữ liệu giống công thức khi xuất CSV</t>
        </is>
      </c>
      <c r="C13" s="7" t="inlineStr">
        <is>
          <t>Đứng tại gốc repo; Python 3.10+; không cần bật Android. Fixture tạo trong TEMP.</t>
        </is>
      </c>
      <c r="D13" s="7" t="inlineStr">
        <is>
          <t>1. Chạy python -m unittest discover -s datasets/scripts -p test_evaluate_ocr.py -k test_csv_formula_injection -v
2. Đọc output và kiểm test cùng tên kết thúc ok. Fixture tự dọn sau chạy.</t>
        </is>
      </c>
      <c r="E13" s="7">
        <f>SUM(1,2); +1; -1; @name; khoảng trắng rồi =BAD</f>
        <v/>
      </c>
      <c r="F13" s="7" t="inlineStr">
        <is>
          <t>Giá trị được thêm dấu quote bảo vệ, raw không sửa</t>
        </is>
      </c>
      <c r="G13" s="7" t="inlineStr">
        <is>
          <t>test_csv_formula_injection: ok trong bộ 41 test chạy ngày 2026-10-29 (1.113s).</t>
        </is>
      </c>
      <c r="H13" s="6" t="inlineStr">
        <is>
          <t>Pass</t>
        </is>
      </c>
      <c r="I13" s="7" t="inlineStr">
        <is>
          <t>AC13 · Đoán lỗi · test_csv_formula_injection · evidence/test-v1-unit.log</t>
        </is>
      </c>
      <c r="Q13" s="9" t="inlineStr">
        <is>
          <t>Skip an toàn</t>
        </is>
      </c>
      <c r="R13" s="13" t="inlineStr"/>
      <c r="S13" s="13" t="inlineStr">
        <is>
          <t>X</t>
        </is>
      </c>
      <c r="T13" s="13" t="inlineStr"/>
    </row>
    <row r="14" ht="107" customHeight="1">
      <c r="A14" s="6" t="inlineStr">
        <is>
          <t>TC-OCRD-06</t>
        </is>
      </c>
      <c r="B14" s="6" t="inlineStr">
        <is>
          <t>Giữ lỗi ở lần sớm thay vì lấy retry tốt</t>
        </is>
      </c>
      <c r="C14" s="7" t="inlineStr">
        <is>
          <t>Đứng tại gốc repo; Python 3.10+; không cần bật Android. Fixture tạo trong TEMP.</t>
        </is>
      </c>
      <c r="D14" s="7" t="inlineStr">
        <is>
          <t>1. Chạy python -m unittest discover -s datasets/scripts -p test_evaluate_ocr.py -k test_earliest_failed_run_is_not_replaced_by_good_retry -v
2. Đọc output và kiểm test cùng tên kết thúc ok. Fixture tự dọn sau chạy.</t>
        </is>
      </c>
      <c r="E14" s="7" t="inlineStr">
        <is>
          <t>early engine_error; later exact; hai ảnh có nhãn</t>
        </is>
      </c>
      <c r="F14" s="7" t="inlineStr">
        <is>
          <t>Chọn early, evaluated=1,correct=0,coverage=1/2; giữ retry</t>
        </is>
      </c>
      <c r="G14" s="7" t="inlineStr">
        <is>
          <t>test_earliest_failed_run_is_not_replaced_by_good_retry: ok trong bộ 41 test chạy ngày 2026-10-29 (1.113s).</t>
        </is>
      </c>
      <c r="H14" s="6" t="inlineStr">
        <is>
          <t>Pass</t>
        </is>
      </c>
      <c r="I14" s="7" t="inlineStr">
        <is>
          <t>AC5, AC12 · Chuyển trạng thái chạy lại · test_earliest_failed_run_is_not_replaced_by_good_retry · evidence/test-v1-unit.log</t>
        </is>
      </c>
      <c r="Q14" s="9" t="inlineStr">
        <is>
          <t>Conflict, không overwrite</t>
        </is>
      </c>
      <c r="R14" s="13" t="inlineStr"/>
      <c r="S14" s="13" t="inlineStr"/>
      <c r="T14" s="13" t="inlineStr">
        <is>
          <t>X</t>
        </is>
      </c>
    </row>
    <row r="15" ht="90.5" customHeight="1">
      <c r="A15" s="6" t="inlineStr">
        <is>
          <t>TC-OCRD-07</t>
        </is>
      </c>
      <c r="B15" s="6" t="inlineStr">
        <is>
          <t>Giữ rõ timestamp sai và ID không ánh xạ</t>
        </is>
      </c>
      <c r="C15" s="7" t="inlineStr">
        <is>
          <t>Đứng tại gốc repo; Python 3.10+; không cần bật Android. Fixture tạo trong TEMP.</t>
        </is>
      </c>
      <c r="D15" s="7" t="inlineStr">
        <is>
          <t>1. Chạy python -m unittest discover -s datasets/scripts -p test_evaluate_ocr.py -k test_invalid_time_and_unmapped_remain_visible -v
2. Đọc output và kiểm test cùng tên kết thúc ok. Fixture tự dọn sau chạy.</t>
        </is>
      </c>
      <c r="E15" s="7" t="inlineStr">
        <is>
          <t>invalid date không timezone; imageId=1</t>
        </is>
      </c>
      <c r="F15" s="7" t="inlineStr">
        <is>
          <t>invalid_run=1,unmapped=1,not_run=2; errors=2</t>
        </is>
      </c>
      <c r="G15" s="7" t="inlineStr">
        <is>
          <t>test_invalid_time_and_unmapped_remain_visible: ok trong bộ 41 test chạy ngày 2026-10-29 (1.113s).</t>
        </is>
      </c>
      <c r="H15" s="6" t="inlineStr">
        <is>
          <t>Pass</t>
        </is>
      </c>
      <c r="I15" s="7" t="inlineStr">
        <is>
          <t>AC5, AC9 · Đoán lỗi · test_invalid_time_and_unmapped_remain_visible · evidence/test-v1-unit.log</t>
        </is>
      </c>
    </row>
    <row r="16" ht="90.5" customHeight="1">
      <c r="A16" s="6" t="inlineStr">
        <is>
          <t>TC-OCRD-08</t>
        </is>
      </c>
      <c r="B16" s="6" t="inlineStr">
        <is>
          <t>Từ chối manifest thiếu nhãn/verification</t>
        </is>
      </c>
      <c r="C16" s="7" t="inlineStr">
        <is>
          <t>Đứng tại gốc repo; Python 3.10+; không cần bật Android. Fixture tạo trong TEMP.</t>
        </is>
      </c>
      <c r="D16" s="7" t="inlineStr">
        <is>
          <t>1. Chạy python -m unittest discover -s datasets/scripts -p test_evaluate_ocr.py -k test_malformed_manifest_does_not_produce_go -v
2. Đọc output và kiểm test cùng tên kết thúc ok. Fixture tự dọn sau chạy.</t>
        </is>
      </c>
      <c r="E16" s="7" t="inlineStr">
        <is>
          <t>images chỉ có image_id=img1</t>
        </is>
      </c>
      <c r="F16" s="7" t="inlineStr">
        <is>
          <t>pending, không tạo kết luận go</t>
        </is>
      </c>
      <c r="G16" s="7" t="inlineStr">
        <is>
          <t>test_malformed_manifest_does_not_produce_go: ok trong bộ 41 test chạy ngày 2026-10-29 (1.113s).</t>
        </is>
      </c>
      <c r="H16" s="6" t="inlineStr">
        <is>
          <t>Pass</t>
        </is>
      </c>
      <c r="I16" s="7" t="inlineStr">
        <is>
          <t>AC7 · Đoán lỗi · test_malformed_manifest_does_not_produce_go · evidence/test-v1-unit.log</t>
        </is>
      </c>
    </row>
    <row r="17" ht="90.5" customHeight="1">
      <c r="A17" s="6" t="inlineStr">
        <is>
          <t>TC-OCRD-09</t>
        </is>
      </c>
      <c r="B17" s="6" t="inlineStr">
        <is>
          <t>Không chấm ảnh khi hash nhập khác ảnh nhãn</t>
        </is>
      </c>
      <c r="C17" s="7" t="inlineStr">
        <is>
          <t>Đứng tại gốc repo; Python 3.10+; không cần bật Android. Fixture tạo trong TEMP.</t>
        </is>
      </c>
      <c r="D17" s="7" t="inlineStr">
        <is>
          <t>1. Chạy python -m unittest discover -s datasets/scripts -p test_evaluate_ocr.py -k test_mapping_and_image_hash_mismatch -v
2. Đọc output và kiểm test cùng tên kết thúc ok. Fixture tự dọn sau chạy.</t>
        </is>
      </c>
      <c r="E17" s="7" t="inlineStr">
        <is>
          <t>Mapping run1→img1 hợp lệ, sau đó provenance image hash sai</t>
        </is>
      </c>
      <c r="F17" s="7" t="inlineStr">
        <is>
          <t>Trước đó exact; sau mismatch invalid_run và ảnh not_run</t>
        </is>
      </c>
      <c r="G17" s="7" t="inlineStr">
        <is>
          <t>test_mapping_and_image_hash_mismatch: ok trong bộ 41 test chạy ngày 2026-10-29 (1.113s).</t>
        </is>
      </c>
      <c r="H17" s="6" t="inlineStr">
        <is>
          <t>Pass</t>
        </is>
      </c>
      <c r="I17" s="7" t="inlineStr">
        <is>
          <t>AC9, AC11 · Chuyển trạng thái hash · test_mapping_and_image_hash_mismatch · evidence/test-v1-unit.log</t>
        </is>
      </c>
    </row>
    <row r="18" ht="90.5" customHeight="1">
      <c r="A18" s="6" t="inlineStr">
        <is>
          <t>TC-OCRD-10</t>
        </is>
      </c>
      <c r="B18" s="6" t="inlineStr">
        <is>
          <t>Không cộng token tách xa vào tử số exact</t>
        </is>
      </c>
      <c r="C18" s="7" t="inlineStr">
        <is>
          <t>Đứng tại gốc repo; Python 3.10+; không cần bật Android. Fixture tạo trong TEMP.</t>
        </is>
      </c>
      <c r="D18" s="7" t="inlineStr">
        <is>
          <t>1. Chạy python -m unittest discover -s datasets/scripts -p test_evaluate_ocr.py -k test_name_layout_diagnostic_not_counted_exact -v
2. Đọc output và kiểm test cùng tên kết thúc ok. Fixture tự dọn sau chạy.</t>
        </is>
      </c>
      <c r="E18" s="7" t="inlineStr">
        <is>
          <t>DECOLGEN PHARMA FORTE</t>
        </is>
      </c>
      <c r="F18" s="7" t="inlineStr">
        <is>
          <t>tokens_present_noncontiguous, correct=0</t>
        </is>
      </c>
      <c r="G18" s="7" t="inlineStr">
        <is>
          <t>test_name_layout_diagnostic_not_counted_exact: ok trong bộ 41 test chạy ngày 2026-10-29 (1.113s).</t>
        </is>
      </c>
      <c r="H18" s="6" t="inlineStr">
        <is>
          <t>Pass</t>
        </is>
      </c>
      <c r="I18" s="7" t="inlineStr">
        <is>
          <t>AC5 · EP (2) · test_name_layout_diagnostic_not_counted_exact · evidence/test-v1-unit.log</t>
        </is>
      </c>
    </row>
    <row r="19" ht="90.5" customHeight="1">
      <c r="A19" s="6" t="inlineStr">
        <is>
          <t>TC-OCRD-11</t>
        </is>
      </c>
      <c r="B19" s="6" t="inlineStr">
        <is>
          <t>Hiện đầy đủ ảnh chưa chạy khi raw rỗng</t>
        </is>
      </c>
      <c r="C19" s="7" t="inlineStr">
        <is>
          <t>Đứng tại gốc repo; Python 3.10+; không cần bật Android. Fixture tạo trong TEMP.</t>
        </is>
      </c>
      <c r="D19" s="7" t="inlineStr">
        <is>
          <t>1. Chạy python -m unittest discover -s datasets/scripts -p test_evaluate_ocr.py -k test_no_runs_lists_every_image_and_no_fake_accuracy -v
2. Đọc output và kiểm test cùng tên kết thúc ok. Fixture tự dọn sau chạy.</t>
        </is>
      </c>
      <c r="E19" s="7" t="inlineStr">
        <is>
          <t>Hai nhãn hợp lệ; raw chưa có file</t>
        </is>
      </c>
      <c r="F19" s="7" t="inlineStr">
        <is>
          <t>Hai not_run; accuracy=null; coverage=0; not_decided</t>
        </is>
      </c>
      <c r="G19" s="7" t="inlineStr">
        <is>
          <t>test_no_runs_lists_every_image_and_no_fake_accuracy: ok trong bộ 41 test chạy ngày 2026-10-29 (1.113s).</t>
        </is>
      </c>
      <c r="H19" s="6" t="inlineStr">
        <is>
          <t>Pass</t>
        </is>
      </c>
      <c r="I19" s="7" t="inlineStr">
        <is>
          <t>AC5, AC8 · Decision về pilot · test_no_runs_lists_every_image_and_no_fake_accuracy · evidence/test-v1-unit.log</t>
        </is>
      </c>
    </row>
    <row r="20" ht="90.5" customHeight="1">
      <c r="A20" s="6" t="inlineStr">
        <is>
          <t>TC-OCRD-12</t>
        </is>
      </c>
      <c r="B20" s="6" t="inlineStr">
        <is>
          <t>Tính no_text là ảnh đã chạy nhưng không đạt</t>
        </is>
      </c>
      <c r="C20" s="7" t="inlineStr">
        <is>
          <t>Đứng tại gốc repo; Python 3.10+; không cần bật Android. Fixture tạo trong TEMP.</t>
        </is>
      </c>
      <c r="D20" s="7" t="inlineStr">
        <is>
          <t>1. Chạy python -m unittest discover -s datasets/scripts -p test_evaluate_ocr.py -k test_no_text_counts_failed_not_excluded -v
2. Đọc output và kiểm test cùng tên kết thúc ok. Fixture tự dọn sau chạy.</t>
        </is>
      </c>
      <c r="E20" s="7" t="inlineStr">
        <is>
          <t>status=no_text, raw=(blank)</t>
        </is>
      </c>
      <c r="F20" s="7" t="inlineStr">
        <is>
          <t>evaluated=1,accuracy=0; không bỏ ảnh khỏi mẫu số</t>
        </is>
      </c>
      <c r="G20" s="7" t="inlineStr">
        <is>
          <t>test_no_text_counts_failed_not_excluded: ok trong bộ 41 test chạy ngày 2026-10-29 (1.113s).</t>
        </is>
      </c>
      <c r="H20" s="6" t="inlineStr">
        <is>
          <t>Pass</t>
        </is>
      </c>
      <c r="I20" s="7" t="inlineStr">
        <is>
          <t>AC5 · EP (4) · test_no_text_counts_failed_not_excluded · evidence/test-v1-unit.log</t>
        </is>
      </c>
    </row>
    <row r="21" ht="90.5" customHeight="1">
      <c r="A21" s="6" t="inlineStr">
        <is>
          <t>TC-OCRD-13</t>
        </is>
      </c>
      <c r="B21" s="6" t="inlineStr">
        <is>
          <t>Báo raw bị đổi sau import</t>
        </is>
      </c>
      <c r="C21" s="7" t="inlineStr">
        <is>
          <t>Đứng tại gốc repo; Python 3.10+; không cần bật Android. Fixture tạo trong TEMP.</t>
        </is>
      </c>
      <c r="D21" s="7" t="inlineStr">
        <is>
          <t>1. Chạy python -m unittest discover -s datasets/scripts -p test_evaluate_ocr.py -k test_raw_hash_differs_from_import_provenance -v
2. Đọc output và kiểm test cùng tên kết thúc ok. Fixture tự dọn sau chạy.</t>
        </is>
      </c>
      <c r="E21" s="7" t="inlineStr">
        <is>
          <t>import-index sha256=wrong cho run1</t>
        </is>
      </c>
      <c r="F21" s="7" t="inlineStr">
        <is>
          <t>invalid_run và data error, không chấm raw đã đổi</t>
        </is>
      </c>
      <c r="G21" s="7" t="inlineStr">
        <is>
          <t>test_raw_hash_differs_from_import_provenance: ok trong bộ 41 test chạy ngày 2026-10-29 (1.113s).</t>
        </is>
      </c>
      <c r="H21" s="6" t="inlineStr">
        <is>
          <t>Pass</t>
        </is>
      </c>
      <c r="I21" s="7" t="inlineStr">
        <is>
          <t>AC11 · Chuyển trạng thái hash · test_raw_hash_differs_from_import_provenance · evidence/test-v1-unit.log</t>
        </is>
      </c>
    </row>
    <row r="22" ht="90.5" customHeight="1">
      <c r="A22" s="6" t="inlineStr">
        <is>
          <t>TC-OCRD-14</t>
        </is>
      </c>
      <c r="B22" s="6" t="inlineStr">
        <is>
          <t>Xuất CSV/JSON/Markdown bằng CLI và giữ source</t>
        </is>
      </c>
      <c r="C22" s="7" t="inlineStr">
        <is>
          <t>Đứng tại gốc repo; Python 3.10+; không cần bật Android. Fixture tạo trong TEMP.</t>
        </is>
      </c>
      <c r="D22" s="7" t="inlineStr">
        <is>
          <t>1. Chạy python -m unittest discover -s datasets/scripts -p test_evaluate_ocr.py -k test_reports_and_cli_preserve_sources -v
2. Đọc output và kiểm test cùng tên kết thúc ok. Fixture tự dọn sau chạy.</t>
        </is>
      </c>
      <c r="E22" s="7" t="inlineStr">
        <is>
          <t>Hai nhãn, một run exact; output folder riêng</t>
        </is>
      </c>
      <c r="F22" s="7" t="inlineStr">
        <is>
          <t>Exit0; đủ ba file; coverage1/2; source raw/XLSX không đổi</t>
        </is>
      </c>
      <c r="G22" s="7" t="inlineStr">
        <is>
          <t>test_reports_and_cli_preserve_sources: ok trong bộ 41 test chạy ngày 2026-10-29 (1.113s).</t>
        </is>
      </c>
      <c r="H22" s="6" t="inlineStr">
        <is>
          <t>Pass</t>
        </is>
      </c>
      <c r="I22" s="7" t="inlineStr">
        <is>
          <t>AC13 · Kiểm CLI · test_reports_and_cli_preserve_sources · evidence/test-v1-unit.log</t>
        </is>
      </c>
    </row>
    <row r="23" ht="90.5" customHeight="1">
      <c r="A23" s="6" t="inlineStr">
        <is>
          <t>TC-OCRD-15</t>
        </is>
      </c>
      <c r="B23" s="6" t="inlineStr">
        <is>
          <t>Báo điểm riêng máy ảo và điện thoại</t>
        </is>
      </c>
      <c r="C23" s="7" t="inlineStr">
        <is>
          <t>Đứng tại gốc repo; Python 3.10+; không cần bật Android. Fixture tạo trong TEMP.</t>
        </is>
      </c>
      <c r="D23" s="7" t="inlineStr">
        <is>
          <t>1. Chạy python -m unittest discover -s datasets/scripts -p test_evaluate_ocr.py -k test_two_device_types_and_os_are_scored_separately -v
2. Đọc output và kiểm test cùng tên kết thúc ok. Fixture tự dọn sau chạy.</t>
        </is>
      </c>
      <c r="E23" s="7" t="inlineStr">
        <is>
          <t>Hai run cùng ảnh: emulator và physical</t>
        </is>
      </c>
      <c r="F23" s="7" t="inlineStr">
        <is>
          <t>Hai nhóm score riêng, mỗi nhóm evaluated=1</t>
        </is>
      </c>
      <c r="G23" s="7" t="inlineStr">
        <is>
          <t>test_two_device_types_and_os_are_scored_separately: ok trong bộ 41 test chạy ngày 2026-10-29 (1.113s).</t>
        </is>
      </c>
      <c r="H23" s="6" t="inlineStr">
        <is>
          <t>Pass</t>
        </is>
      </c>
      <c r="I23" s="7" t="inlineStr">
        <is>
          <t>AC12 · Phân lớp tương đương · test_two_device_types_and_os_are_scored_separately · evidence/test-v1-unit.log</t>
        </is>
      </c>
    </row>
    <row r="24" ht="107" customHeight="1">
      <c r="A24" s="6" t="inlineStr">
        <is>
          <t>TC-OCRD-16</t>
        </is>
      </c>
      <c r="B24" s="6" t="inlineStr">
        <is>
          <t>Nối ảnh bằng hash ADB mà không sửa payload</t>
        </is>
      </c>
      <c r="C24" s="7" t="inlineStr">
        <is>
          <t>Đứng tại gốc repo; Python 3.10+; không cần bật Android. Fixture tạo trong TEMP.</t>
        </is>
      </c>
      <c r="D24" s="7" t="inlineStr">
        <is>
          <t>1. Chạy python -m unittest discover -s datasets/scripts -p test_import_android_runs.py -k test_adb_hash_mapping_and_device_observation_do_not_rewrite_raw -v
2. Đọc output và kiểm test cùng tên kết thúc ok. Fixture tự dọn sau chạy.</t>
        </is>
      </c>
      <c r="E24" s="7" t="inlineStr">
        <is>
          <t>ADB giả có run1 imageId=1, hash khớp img1</t>
        </is>
      </c>
      <c r="F24" s="7" t="inlineStr">
        <is>
          <t>Có mapping img1 và observed_device=emulator; JSON nguyên byte</t>
        </is>
      </c>
      <c r="G24" s="7" t="inlineStr">
        <is>
          <t>test_adb_hash_mapping_and_device_observation_do_not_rewrite_raw: ok trong bộ 41 test chạy ngày 2026-10-29 (1.113s).</t>
        </is>
      </c>
      <c r="H24" s="6" t="inlineStr">
        <is>
          <t>Pass</t>
        </is>
      </c>
      <c r="I24" s="7" t="inlineStr">
        <is>
          <t>AC2, AC11 · Phân lớp tương đương · test_adb_hash_mapping_and_device_observation_do_not_rewrite_raw · evidence/test-v1-unit.log</t>
        </is>
      </c>
    </row>
    <row r="25" ht="90.5" customHeight="1">
      <c r="A25" s="6" t="inlineStr">
        <is>
          <t>TC-OCRD-17</t>
        </is>
      </c>
      <c r="B25" s="6" t="inlineStr">
        <is>
          <t>Từ chối ghi đè runId có raw khác</t>
        </is>
      </c>
      <c r="C25" s="7" t="inlineStr">
        <is>
          <t>Đứng tại gốc repo; Python 3.10+; không cần bật Android. Fixture tạo trong TEMP.</t>
        </is>
      </c>
      <c r="D25" s="7" t="inlineStr">
        <is>
          <t>1. Chạy python -m unittest discover -s datasets/scripts -p test_import_android_runs.py -k test_conflict_never_overwrites -v
2. Đọc output và kiểm test cùng tên kết thúc ok. Fixture tự dọn sau chạy.</t>
        </is>
      </c>
      <c r="E25" s="7" t="inlineStr">
        <is>
          <t>run1 đã nhập, source raw đổi thành changed</t>
        </is>
      </c>
      <c r="F25" s="7" t="inlineStr">
        <is>
          <t>Báo conflict, raw đích giữ nguyên</t>
        </is>
      </c>
      <c r="G25" s="7" t="inlineStr">
        <is>
          <t>test_conflict_never_overwrites: ok trong bộ 41 test chạy ngày 2026-10-29 (1.113s).</t>
        </is>
      </c>
      <c r="H25" s="6" t="inlineStr">
        <is>
          <t>Pass</t>
        </is>
      </c>
      <c r="I25" s="7" t="inlineStr">
        <is>
          <t>AC11 · Decision Table (R3) · test_conflict_never_overwrites · evidence/test-v1-unit.log</t>
        </is>
      </c>
    </row>
    <row r="26" ht="90.5" customHeight="1">
      <c r="A26" s="6" t="inlineStr">
        <is>
          <t>TC-OCRD-18</t>
        </is>
      </c>
      <c r="B26" s="6" t="inlineStr">
        <is>
          <t>Yêu cầu serial rõ khi dùng ADB</t>
        </is>
      </c>
      <c r="C26" s="7" t="inlineStr">
        <is>
          <t>Đứng tại gốc repo; Python 3.10+; không cần bật Android. Fixture tạo trong TEMP.</t>
        </is>
      </c>
      <c r="D26" s="7" t="inlineStr">
        <is>
          <t>1. Chạy python -m unittest discover -s datasets/scripts -p test_import_android_runs.py -k test_explicit_serial_required -v
2. Đọc output và kiểm test cùng tên kết thúc ok. Fixture tự dọn sau chạy.</t>
        </is>
      </c>
      <c r="E26" s="7" t="inlineStr">
        <is>
          <t>--adb adb nhưng thiếu --serial</t>
        </is>
      </c>
      <c r="F26" s="7" t="inlineStr">
        <is>
          <t>Từ chối bắt đầu, không chọn ngẫu nhiên thiết bị</t>
        </is>
      </c>
      <c r="G26" s="7" t="inlineStr">
        <is>
          <t>test_explicit_serial_required: ok trong bộ 41 test chạy ngày 2026-10-29 (1.113s).</t>
        </is>
      </c>
      <c r="H26" s="6" t="inlineStr">
        <is>
          <t>Pass</t>
        </is>
      </c>
      <c r="I26" s="7" t="inlineStr">
        <is>
          <t>AC11 · Phân lớp tương đương · test_explicit_serial_required · evidence/test-v1-unit.log</t>
        </is>
      </c>
    </row>
    <row r="27" ht="90.5" customHeight="1">
      <c r="A27" s="6" t="inlineStr">
        <is>
          <t>TC-OCRD-19</t>
        </is>
      </c>
      <c r="B27" s="6" t="inlineStr">
        <is>
          <t>Từ chối filename JSON khác runId</t>
        </is>
      </c>
      <c r="C27" s="7" t="inlineStr">
        <is>
          <t>Đứng tại gốc repo; Python 3.10+; không cần bật Android. Fixture tạo trong TEMP.</t>
        </is>
      </c>
      <c r="D27" s="7" t="inlineStr">
        <is>
          <t>1. Chạy python -m unittest discover -s datasets/scripts -p test_import_android_runs.py -k test_filename_must_match_run_id -v
2. Đọc output và kiểm test cùng tên kết thúc ok. Fixture tự dọn sau chạy.</t>
        </is>
      </c>
      <c r="E27" s="7" t="inlineStr">
        <is>
          <t>other.json chứa runId=run1</t>
        </is>
      </c>
      <c r="F27" s="7" t="inlineStr">
        <is>
          <t>Báo lỗi filename, không tạo raw/run1.json</t>
        </is>
      </c>
      <c r="G27" s="7" t="inlineStr">
        <is>
          <t>test_filename_must_match_run_id: ok trong bộ 41 test chạy ngày 2026-10-29 (1.113s).</t>
        </is>
      </c>
      <c r="H27" s="6" t="inlineStr">
        <is>
          <t>Pass</t>
        </is>
      </c>
      <c r="I27" s="7" t="inlineStr">
        <is>
          <t>AC11 · Đoán lỗi · test_filename_must_match_run_id · evidence/test-v1-unit.log</t>
        </is>
      </c>
    </row>
    <row r="28" ht="90.5" customHeight="1">
      <c r="A28" s="6" t="inlineStr">
        <is>
          <t>TC-OCRD-20</t>
        </is>
      </c>
      <c r="B28" s="6" t="inlineStr">
        <is>
          <t>Không đoán mapping khi hai ảnh cùng hash</t>
        </is>
      </c>
      <c r="C28" s="7" t="inlineStr">
        <is>
          <t>Đứng tại gốc repo; Python 3.10+; không cần bật Android. Fixture tạo trong TEMP.</t>
        </is>
      </c>
      <c r="D28" s="7" t="inlineStr">
        <is>
          <t>1. Chạy python -m unittest discover -s datasets/scripts -p test_import_android_runs.py -k test_hash_ambiguity_does_not_create_mapping -v
2. Đọc output và kiểm test cùng tên kết thúc ok. Fixture tự dọn sau chạy.</t>
        </is>
      </c>
      <c r="E28" s="7" t="inlineStr">
        <is>
          <t>img1 và img2 có byte giống nhau; run unknown</t>
        </is>
      </c>
      <c r="F28" s="7" t="inlineStr">
        <is>
          <t>image_check=ambiguous; không tạo mapping</t>
        </is>
      </c>
      <c r="G28" s="7" t="inlineStr">
        <is>
          <t>test_hash_ambiguity_does_not_create_mapping: ok trong bộ 41 test chạy ngày 2026-10-29 (1.113s).</t>
        </is>
      </c>
      <c r="H28" s="6" t="inlineStr">
        <is>
          <t>Pass</t>
        </is>
      </c>
      <c r="I28" s="7" t="inlineStr">
        <is>
          <t>AC9, AC11 · Đoán lỗi · test_hash_ambiguity_does_not_create_mapping · evidence/test-v1-unit.log</t>
        </is>
      </c>
    </row>
    <row r="29" ht="107" customHeight="1">
      <c r="A29" s="6" t="inlineStr">
        <is>
          <t>TC-OCRD-21</t>
        </is>
      </c>
      <c r="B29" s="6" t="inlineStr">
        <is>
          <t>Nhập nguyên byte raw Unicode rồi nhập lại</t>
        </is>
      </c>
      <c r="C29" s="7" t="inlineStr">
        <is>
          <t>Đứng tại gốc repo; Python 3.10+; không cần bật Android. Fixture tạo trong TEMP.</t>
        </is>
      </c>
      <c r="D29" s="7" t="inlineStr">
        <is>
          <t>1. Chạy python -m unittest discover -s datasets/scripts -p test_import_android_runs.py -k test_import_preserves_bytes_unicode_newlines_and_idempotence -v
2. Đọc output và kiểm test cùng tên kết thúc ok. Fixture tự dọn sau chạy.</t>
        </is>
      </c>
      <c r="E29" s="7" t="inlineStr">
        <is>
          <t>run1 raw Thuốc Á + hai newline</t>
        </is>
      </c>
      <c r="F29" s="7" t="inlineStr">
        <is>
          <t>Byte và SHA-256 khớp; lần nhập giống nhau không lỗi</t>
        </is>
      </c>
      <c r="G29" s="7" t="inlineStr">
        <is>
          <t>test_import_preserves_bytes_unicode_newlines_and_idempotence: ok trong bộ 41 test chạy ngày 2026-10-29 (1.113s).</t>
        </is>
      </c>
      <c r="H29" s="6" t="inlineStr">
        <is>
          <t>Pass</t>
        </is>
      </c>
      <c r="I29" s="7" t="inlineStr">
        <is>
          <t>AC2, AC11 · Decision Table (R1,R2) · test_import_preserves_bytes_unicode_newlines_and_idempotence · evidence/test-v1-unit.log</t>
        </is>
      </c>
    </row>
    <row r="30" ht="107" customHeight="1">
      <c r="A30" s="6" t="inlineStr">
        <is>
          <t>TC-OCRD-22</t>
        </is>
      </c>
      <c r="B30" s="6" t="inlineStr">
        <is>
          <t>Tách run lịch sử khỏi pilot mới</t>
        </is>
      </c>
      <c r="C30" s="7" t="inlineStr">
        <is>
          <t>Đứng tại gốc repo; Python 3.10+; không cần bật Android. Fixture tạo trong TEMP.</t>
        </is>
      </c>
      <c r="D30" s="7" t="inlineStr">
        <is>
          <t>1. Chạy python -m unittest discover -s datasets/scripts -p test_import_android_runs.py -k test_legacy_runs_are_not_reimported_into_pilot -v
2. Đọc output và kiểm test cùng tên kết thúc ok. Fixture tự dọn sau chạy.</t>
        </is>
      </c>
      <c r="E30" s="7" t="inlineStr">
        <is>
          <t>run1 byte giống bản legacy-pilot/raw</t>
        </is>
      </c>
      <c r="F30" s="7" t="inlineStr">
        <is>
          <t>skipped_legacy chứa run1; không tạo raw mới</t>
        </is>
      </c>
      <c r="G30" s="7" t="inlineStr">
        <is>
          <t>test_legacy_runs_are_not_reimported_into_pilot: ok trong bộ 41 test chạy ngày 2026-10-29 (1.113s).</t>
        </is>
      </c>
      <c r="H30" s="6" t="inlineStr">
        <is>
          <t>Pass</t>
        </is>
      </c>
      <c r="I30" s="7" t="inlineStr">
        <is>
          <t>AC11 · Chuyển trạng thái import · test_legacy_runs_are_not_reimported_into_pilot · evidence/test-v1-unit.log</t>
        </is>
      </c>
    </row>
    <row r="31" ht="90.5" customHeight="1">
      <c r="A31" s="6" t="inlineStr">
        <is>
          <t>TC-OCRD-23</t>
        </is>
      </c>
      <c r="B31" s="6" t="inlineStr">
        <is>
          <t>Báo lỗi dữ liệu ADB không giải mã được</t>
        </is>
      </c>
      <c r="C31" s="7" t="inlineStr">
        <is>
          <t>Đứng tại gốc repo; Python 3.10+; không cần bật Android. Fixture tạo trong TEMP.</t>
        </is>
      </c>
      <c r="D31" s="7" t="inlineStr">
        <is>
          <t>1. Chạy python -m unittest discover -s datasets/scripts -p test_import_android_runs.py -k test_malformed_base64_json_is_reported -v
2. Đọc output và kiểm test cùng tên kết thúc ok. Fixture tự dọn sau chạy.</t>
        </is>
      </c>
      <c r="E31" s="7" t="inlineStr">
        <is>
          <t>ADB base64 trả not-base64</t>
        </is>
      </c>
      <c r="F31" s="7" t="inlineStr">
        <is>
          <t>Lỗi xuất hiện trong index, không tạo raw giả</t>
        </is>
      </c>
      <c r="G31" s="7" t="inlineStr">
        <is>
          <t>test_malformed_base64_json_is_reported: ok trong bộ 41 test chạy ngày 2026-10-29 (1.113s).</t>
        </is>
      </c>
      <c r="H31" s="6" t="inlineStr">
        <is>
          <t>Pass</t>
        </is>
      </c>
      <c r="I31" s="7" t="inlineStr">
        <is>
          <t>AC11 · Đoán lỗi · test_malformed_base64_json_is_reported · evidence/test-v1-unit.log</t>
        </is>
      </c>
    </row>
    <row r="32" ht="90.5" customHeight="1">
      <c r="A32" s="6" t="inlineStr">
        <is>
          <t>TC-OCRD-24</t>
        </is>
      </c>
      <c r="B32" s="6" t="inlineStr">
        <is>
          <t>Chặn imagePath không an toàn trong app</t>
        </is>
      </c>
      <c r="C32" s="7" t="inlineStr">
        <is>
          <t>Đứng tại gốc repo; Python 3.10+; không cần bật Android. Fixture tạo trong TEMP.</t>
        </is>
      </c>
      <c r="D32" s="7" t="inlineStr">
        <is>
          <t>1. Chạy python -m unittest discover -s datasets/scripts -p test_import_android_runs.py -k test_safe_sandbox_image_paths -v
2. Đọc output và kiểm test cùng tên kết thúc ok. Fixture tự dọn sau chạy.</t>
        </is>
      </c>
      <c r="E32" s="7" t="inlineStr">
        <is>
          <t>run1/image.jpg hợp lệ; ../outside; path có dấu ; hoặc backslash</t>
        </is>
      </c>
      <c r="F32" s="7" t="inlineStr">
        <is>
          <t>Chỉ đường dẫn run/image.ext hợp lệ được đọc qua ADB</t>
        </is>
      </c>
      <c r="G32" s="7" t="inlineStr">
        <is>
          <t>test_safe_sandbox_image_paths: ok trong bộ 41 test chạy ngày 2026-10-29 (1.113s).</t>
        </is>
      </c>
      <c r="H32" s="6" t="inlineStr">
        <is>
          <t>Pass</t>
        </is>
      </c>
      <c r="I32" s="7" t="inlineStr">
        <is>
          <t>AC11 · Kiểm tra đường dẫn · test_safe_sandbox_image_paths · evidence/test-v1-unit.log</t>
        </is>
      </c>
    </row>
    <row r="33" ht="90.5" customHeight="1">
      <c r="A33" s="6" t="inlineStr">
        <is>
          <t>TC-OCRD-25</t>
        </is>
      </c>
      <c r="B33" s="6" t="inlineStr">
        <is>
          <t>Từ chối workbook có hai vị trí header phù hợp</t>
        </is>
      </c>
      <c r="C33" s="7" t="inlineStr">
        <is>
          <t>Đứng tại gốc repo; Python 3.10+; không cần bật Android. Fixture tạo trong TEMP.</t>
        </is>
      </c>
      <c r="D33" s="7" t="inlineStr">
        <is>
          <t>1. Chạy python -m unittest discover -s datasets/scripts -p test_ocr_dataset.py -k test_ambiguous_header_rejected -v
2. Đọc output và kiểm test cùng tên kết thúc ok. Fixture tự dọn sau chạy.</t>
        </is>
      </c>
      <c r="E33" s="7" t="inlineStr">
        <is>
          <t>Header đủ bốn cột lặp hai lần</t>
        </is>
      </c>
      <c r="F33" s="7" t="inlineStr">
        <is>
          <t>ValueError: Expected exactly one sheet/header</t>
        </is>
      </c>
      <c r="G33" s="7" t="inlineStr">
        <is>
          <t>test_ambiguous_header_rejected: ok trong bộ 41 test chạy ngày 2026-10-29 (1.113s).</t>
        </is>
      </c>
      <c r="H33" s="6" t="inlineStr">
        <is>
          <t>Pass</t>
        </is>
      </c>
      <c r="I33" s="7" t="inlineStr">
        <is>
          <t>AC9 · Đoán lỗi · test_ambiguous_header_rejected · evidence/test-v1-unit.log</t>
        </is>
      </c>
    </row>
    <row r="34" ht="90.5" customHeight="1">
      <c r="A34" s="6" t="inlineStr">
        <is>
          <t>TC-OCRD-26</t>
        </is>
      </c>
      <c r="B34" s="6" t="inlineStr">
        <is>
          <t>Tách deviceKind chưa rõ và khác phiên bản OS</t>
        </is>
      </c>
      <c r="C34" s="7" t="inlineStr">
        <is>
          <t>Đứng tại gốc repo; Python 3.10+; không cần bật Android. Fixture tạo trong TEMP.</t>
        </is>
      </c>
      <c r="D34" s="7" t="inlineStr">
        <is>
          <t>1. Chạy python -m unittest discover -s datasets/scripts -p test_ocr_dataset.py -k test_devices_separate_unknown_kind_and_os -v
2. Đọc output và kiểm test cùng tên kết thúc ok. Fixture tự dọn sau chạy.</t>
        </is>
      </c>
      <c r="E34" s="7" t="inlineStr">
        <is>
          <t>emulator/OS17; unknown kind/OS17; emulator/OS16</t>
        </is>
      </c>
      <c r="F34" s="7" t="inlineStr">
        <is>
          <t>device key khác nhau, không coi unknown là physical</t>
        </is>
      </c>
      <c r="G34" s="7" t="inlineStr">
        <is>
          <t>test_devices_separate_unknown_kind_and_os: ok trong bộ 41 test chạy ngày 2026-10-29 (1.113s).</t>
        </is>
      </c>
      <c r="H34" s="6" t="inlineStr">
        <is>
          <t>Pass</t>
        </is>
      </c>
      <c r="I34" s="7" t="inlineStr">
        <is>
          <t>AC12 · Phân lớp tương đương · test_devices_separate_unknown_kind_and_os · evidence/test-v1-unit.log</t>
        </is>
      </c>
    </row>
    <row r="35" ht="90.5" customHeight="1">
      <c r="A35" s="6" t="inlineStr">
        <is>
          <t>TC-OCRD-27</t>
        </is>
      </c>
      <c r="B35" s="6" t="inlineStr">
        <is>
          <t>Giữ rõ lỗi run trùng khác nội dung và JSON hỏng</t>
        </is>
      </c>
      <c r="C35" s="7" t="inlineStr">
        <is>
          <t>Đứng tại gốc repo; Python 3.10+; không cần bật Android. Fixture tạo trong TEMP.</t>
        </is>
      </c>
      <c r="D35" s="7" t="inlineStr">
        <is>
          <t>1. Chạy python -m unittest discover -s datasets/scripts -p test_ocr_dataset.py -k test_duplicate_conflicting_and_malformed_run_reported -v
2. Đọc output và kiểm test cùng tên kết thúc ok. Fixture tự dọn sau chạy.</t>
        </is>
      </c>
      <c r="E35" s="7" t="inlineStr">
        <is>
          <t>a.json/b.json cùng runId khác raw; bad.json={</t>
        </is>
      </c>
      <c r="F35" s="7" t="inlineStr">
        <is>
          <t>Ba entry lỗi hiện rõ, không chọn run đẹp</t>
        </is>
      </c>
      <c r="G35" s="7" t="inlineStr">
        <is>
          <t>test_duplicate_conflicting_and_malformed_run_reported: ok trong bộ 41 test chạy ngày 2026-10-29 (1.113s).</t>
        </is>
      </c>
      <c r="H35" s="6" t="inlineStr">
        <is>
          <t>Pass</t>
        </is>
      </c>
      <c r="I35" s="7" t="inlineStr">
        <is>
          <t>AC9, AC11 · Đoán lỗi · test_duplicate_conflicting_and_malformed_run_reported · evidence/test-v1-unit.log</t>
        </is>
      </c>
    </row>
    <row r="36" ht="90.5" customHeight="1">
      <c r="A36" s="6" t="inlineStr">
        <is>
          <t>TC-OCRD-28</t>
        </is>
      </c>
      <c r="B36" s="6" t="inlineStr">
        <is>
          <t>Báo lỗi mọi hàng có ID trùng</t>
        </is>
      </c>
      <c r="C36" s="7" t="inlineStr">
        <is>
          <t>Đứng tại gốc repo; Python 3.10+; không cần bật Android. Fixture tạo trong TEMP.</t>
        </is>
      </c>
      <c r="D36" s="7" t="inlineStr">
        <is>
          <t>1. Chạy python -m unittest discover -s datasets/scripts -p test_ocr_dataset.py -k test_duplicate_ids_invalidate_all_rows -v
2. Đọc output và kiểm test cùng tên kết thúc ok. Fixture tự dọn sau chạy.</t>
        </is>
      </c>
      <c r="E36" s="7" t="inlineStr">
        <is>
          <t>Hai hàng img1: A và B</t>
        </is>
      </c>
      <c r="F36" s="7" t="inlineStr">
        <is>
          <t>Cả hai invalid, không giữ một hàng để chấm âm thầm</t>
        </is>
      </c>
      <c r="G36" s="7" t="inlineStr">
        <is>
          <t>test_duplicate_ids_invalidate_all_rows: ok trong bộ 41 test chạy ngày 2026-10-29 (1.113s).</t>
        </is>
      </c>
      <c r="H36" s="6" t="inlineStr">
        <is>
          <t>Pass</t>
        </is>
      </c>
      <c r="I36" s="7" t="inlineStr">
        <is>
          <t>AC9 · Đoán lỗi · test_duplicate_ids_invalidate_all_rows · evidence/test-v1-unit.log</t>
        </is>
      </c>
    </row>
    <row r="37" ht="90.5" customHeight="1">
      <c r="A37" s="6" t="inlineStr">
        <is>
          <t>TC-OCRD-29</t>
        </is>
      </c>
      <c r="B37" s="6" t="inlineStr">
        <is>
          <t>Yêu cầu mapping có xác minh và ID nhãn tồn tại</t>
        </is>
      </c>
      <c r="C37" s="7" t="inlineStr">
        <is>
          <t>Đứng tại gốc repo; Python 3.10+; không cần bật Android. Fixture tạo trong TEMP.</t>
        </is>
      </c>
      <c r="D37" s="7" t="inlineStr">
        <is>
          <t>1. Chạy python -m unittest discover -s datasets/scripts -p test_ocr_dataset.py -k test_mapping_needs_verification_and_known_label -v
2. Đọc output và kiểm test cùng tên kết thúc ok. Fixture tự dọn sau chạy.</t>
        </is>
      </c>
      <c r="E37" s="7" t="inlineStr">
        <is>
          <t>r: thiếu verified_by; s: missing ID; t: img1,Bao,hash</t>
        </is>
      </c>
      <c r="F37" s="7" t="inlineStr">
        <is>
          <t>Chỉ mapping t được dùng, hai lỗi còn lại được báo</t>
        </is>
      </c>
      <c r="G37" s="7" t="inlineStr">
        <is>
          <t>test_mapping_needs_verification_and_known_label: ok trong bộ 41 test chạy ngày 2026-10-29 (1.113s).</t>
        </is>
      </c>
      <c r="H37" s="6" t="inlineStr">
        <is>
          <t>Pass</t>
        </is>
      </c>
      <c r="I37" s="7" t="inlineStr">
        <is>
          <t>AC9, AC11 · Bảng quyết định · test_mapping_needs_verification_and_known_label · evidence/test-v1-unit.log</t>
        </is>
      </c>
    </row>
    <row r="38" ht="90.5" customHeight="1">
      <c r="A38" s="6" t="inlineStr">
        <is>
          <t>TC-OCRD-30</t>
        </is>
      </c>
      <c r="B38" s="6" t="inlineStr">
        <is>
          <t>Báo nhãn rỗng, ảnh thiếu và công thức trong ô nhãn</t>
        </is>
      </c>
      <c r="C38" s="7" t="inlineStr">
        <is>
          <t>Đứng tại gốc repo; Python 3.10+; không cần bật Android. Fixture tạo trong TEMP.</t>
        </is>
      </c>
      <c r="D38" s="7" t="inlineStr">
        <is>
          <t>1. Chạy python -m unittest discover -s datasets/scripts -p test_ocr_dataset.py -k test_missing_name_image_and_formula_not_silent -v
2. Đọc output và kiểm test cùng tên kết thúc ok. Fixture tự dọn sau chạy.</t>
        </is>
      </c>
      <c r="E38" s="7" t="inlineStr">
        <is>
          <t>drug_name=(blank); img1.jpg thiếu; ô nhãn có formula</t>
        </is>
      </c>
      <c r="F38" s="7" t="inlineStr">
        <is>
          <t>invalid label và thông báo nguyên nhân, không lấy formula cache</t>
        </is>
      </c>
      <c r="G38" s="7" t="inlineStr">
        <is>
          <t>test_missing_name_image_and_formula_not_silent: ok trong bộ 41 test chạy ngày 2026-10-29 (1.113s).</t>
        </is>
      </c>
      <c r="H38" s="6" t="inlineStr">
        <is>
          <t>Pass</t>
        </is>
      </c>
      <c r="I38" s="7" t="inlineStr">
        <is>
          <t>AC9 · Đoán lỗi · test_missing_name_image_and_formula_not_silent · evidence/test-v1-unit.log</t>
        </is>
      </c>
    </row>
    <row r="39" ht="90.5" customHeight="1">
      <c r="A39" s="6" t="inlineStr">
        <is>
          <t>TC-OCRD-31</t>
        </is>
      </c>
      <c r="B39" s="6" t="inlineStr">
        <is>
          <t>Chặn đường dẫn thoát dataset</t>
        </is>
      </c>
      <c r="C39" s="7" t="inlineStr">
        <is>
          <t>Đứng tại gốc repo; Python 3.10+; không cần bật Android. Fixture tạo trong TEMP.</t>
        </is>
      </c>
      <c r="D39" s="7" t="inlineStr">
        <is>
          <t>1. Chạy python -m unittest discover -s datasets/scripts -p test_ocr_dataset.py -k test_path_escape_and_symlink_rejected -v
2. Đọc output và kiểm test cùng tên kết thúc ok. Fixture tự dọn sau chạy.</t>
        </is>
      </c>
      <c r="E39" s="7" t="inlineStr">
        <is>
          <t>../labels.xlsx; /etc/a; C:/secret; ..\outside; symlink ra ngoài nếu OS cho phép</t>
        </is>
      </c>
      <c r="F39" s="7" t="inlineStr">
        <is>
          <t>Path escape bị từ chối; không đọc file ngoài dataset</t>
        </is>
      </c>
      <c r="G39" s="7" t="inlineStr">
        <is>
          <t>test_path_escape_and_symlink_rejected: ok trong bộ 41 test chạy ngày 2026-10-29 (1.113s).</t>
        </is>
      </c>
      <c r="H39" s="6" t="inlineStr">
        <is>
          <t>Pass</t>
        </is>
      </c>
      <c r="I39" s="7" t="inlineStr">
        <is>
          <t>AC9 · Kiểm tra đường dẫn · test_path_escape_and_symlink_rejected · evidence/test-v1-unit.log</t>
        </is>
      </c>
    </row>
    <row r="40" ht="90.5" customHeight="1">
      <c r="A40" s="6" t="inlineStr">
        <is>
          <t>TC-OCRD-32</t>
        </is>
      </c>
      <c r="B40" s="6" t="inlineStr">
        <is>
          <t>Từ chối schema, timestamp và metadata sai</t>
        </is>
      </c>
      <c r="C40" s="7" t="inlineStr">
        <is>
          <t>Đứng tại gốc repo; Python 3.10+; không cần bật Android. Fixture tạo trong TEMP.</t>
        </is>
      </c>
      <c r="D40" s="7" t="inlineStr">
        <is>
          <t>1. Chạy python -m unittest discover -s datasets/scripts -p test_ocr_dataset.py -k test_run_schema_and_timezone -v
2. Đọc output và kiểm test cùng tên kết thúc ok. Fixture tự dọn sau chạy.</t>
        </is>
      </c>
      <c r="E40" s="7" t="inlineStr">
        <is>
          <t>schemaVersion=True; runId=../bad; createdAt không timezone; metadata={}</t>
        </is>
      </c>
      <c r="F40" s="7" t="inlineStr">
        <is>
          <t>validate_run báo lỗi; không chấm thành run hợp lệ</t>
        </is>
      </c>
      <c r="G40" s="7" t="inlineStr">
        <is>
          <t>test_run_schema_and_timezone: ok trong bộ 41 test chạy ngày 2026-10-29 (1.113s).</t>
        </is>
      </c>
      <c r="H40" s="6" t="inlineStr">
        <is>
          <t>Pass</t>
        </is>
      </c>
      <c r="I40" s="7" t="inlineStr">
        <is>
          <t>AC9, AC11 · Phân lớp tương đương · test_run_schema_and_timezone · evidence/test-v1-unit.log</t>
        </is>
      </c>
    </row>
    <row r="41" ht="90.5" customHeight="1">
      <c r="A41" s="6" t="inlineStr">
        <is>
          <t>TC-OCRD-33</t>
        </is>
      </c>
      <c r="B41" s="6" t="inlineStr">
        <is>
          <t>Phát hiện thay byte ảnh sau khi lấy snapshot</t>
        </is>
      </c>
      <c r="C41" s="7" t="inlineStr">
        <is>
          <t>Đứng tại gốc repo; Python 3.10+; không cần bật Android. Fixture tạo trong TEMP.</t>
        </is>
      </c>
      <c r="D41" s="7" t="inlineStr">
        <is>
          <t>1. Chạy python -m unittest discover -s datasets/scripts -p test_ocr_dataset.py -k test_snapshot_tracks_actual_image_bytes -v
2. Đọc output và kiểm test cùng tên kết thúc ok. Fixture tự dọn sau chạy.</t>
        </is>
      </c>
      <c r="E41" s="7" t="inlineStr">
        <is>
          <t>Giữ workbook, thay bytes img1.jpg thành changed</t>
        </is>
      </c>
      <c r="F41" s="7" t="inlineStr">
        <is>
          <t>dataset_hash đổi theo ảnh thực, không chỉ so hash khai báo</t>
        </is>
      </c>
      <c r="G41" s="7" t="inlineStr">
        <is>
          <t>test_snapshot_tracks_actual_image_bytes: ok trong bộ 41 test chạy ngày 2026-10-29 (1.113s).</t>
        </is>
      </c>
      <c r="H41" s="6" t="inlineStr">
        <is>
          <t>Pass</t>
        </is>
      </c>
      <c r="I41" s="7" t="inlineStr">
        <is>
          <t>AC7 · Chuyển trạng thái snapshot · test_snapshot_tracks_actual_image_bytes · evidence/test-v1-unit.log</t>
        </is>
      </c>
    </row>
    <row r="42" ht="90.5" customHeight="1">
      <c r="A42" s="6" t="inlineStr">
        <is>
          <t>TC-OCRD-34</t>
        </is>
      </c>
      <c r="B42" s="6" t="inlineStr">
        <is>
          <t>Đọc header B2 với shared và inline strings</t>
        </is>
      </c>
      <c r="C42" s="7" t="inlineStr">
        <is>
          <t>Đứng tại gốc repo; Python 3.10+; không cần bật Android. Fixture tạo trong TEMP.</t>
        </is>
      </c>
      <c r="D42" s="7" t="inlineStr">
        <is>
          <t>1. Chạy python -m unittest discover -s datasets/scripts -p test_ocr_dataset.py -k test_xlsx_shifted_header_inline_and_shared_unchanged -v
2. Đọc output và kiểm test cùng tên kết thúc ok. Fixture tự dọn sau chạy.</t>
        </is>
      </c>
      <c r="E42" s="7" t="inlineStr">
        <is>
          <t>Workbook fixture Data!B2:E2; Decolgen Forte</t>
        </is>
      </c>
      <c r="F42" s="7" t="inlineStr">
        <is>
          <t>Đọc đúng nhãn/hàng 3, không đổi byte workbook</t>
        </is>
      </c>
      <c r="G42" s="7" t="inlineStr">
        <is>
          <t>test_xlsx_shifted_header_inline_and_shared_unchanged: ok trong bộ 41 test chạy ngày 2026-10-29 (1.113s).</t>
        </is>
      </c>
      <c r="H42" s="6" t="inlineStr">
        <is>
          <t>Pass</t>
        </is>
      </c>
      <c r="I42" s="7" t="inlineStr">
        <is>
          <t>AC9, AC13 · Phân lớp tương đương · test_xlsx_shifted_header_inline_and_shared_unchanged · evidence/test-v1-unit.log</t>
        </is>
      </c>
    </row>
    <row r="43" ht="90.5" customHeight="1">
      <c r="A43" s="6" t="inlineStr">
        <is>
          <t>TC-OCRD-35</t>
        </is>
      </c>
      <c r="B43" s="6" t="inlineStr">
        <is>
          <t>Giữ lỗi ký tự và ranh giới từ khi chấm tên</t>
        </is>
      </c>
      <c r="C43" s="7" t="inlineStr">
        <is>
          <t>Đứng tại gốc repo; Python 3.10+; không cần bật Android. Fixture tạo trong TEMP.</t>
        </is>
      </c>
      <c r="D43" s="7" t="inlineStr">
        <is>
          <t>1. Chạy python -m unittest discover -s datasets/scripts -p test_ocr_dataset.py -k test_boundaries_and_typo_are_not_fixed -v
2. Đọc output và kiểm test cùng tên kết thúc ok. Fixture tự dọn sau chạy.</t>
        </is>
      </c>
      <c r="E43" s="7" t="inlineStr">
        <is>
          <t>xDecolgen Forte; DEC0LGEN FORTE; thuoc/thuốc</t>
        </is>
      </c>
      <c r="F43" s="7" t="inlineStr">
        <is>
          <t>Không sửa chữ hoặc bỏ dấu; partial_name/name_not_found</t>
        </is>
      </c>
      <c r="G43" s="7" t="inlineStr">
        <is>
          <t>test_boundaries_and_typo_are_not_fixed: ok trong bộ 41 test chạy ngày 2026-10-29 (1.113s).</t>
        </is>
      </c>
      <c r="H43" s="6" t="inlineStr">
        <is>
          <t>Pass</t>
        </is>
      </c>
      <c r="I43" s="7" t="inlineStr">
        <is>
          <t>AC5 · EP (3) · test_boundaries_and_typo_are_not_fixed · evidence/test-v1-unit.log</t>
        </is>
      </c>
    </row>
    <row r="44" ht="90.5" customHeight="1">
      <c r="A44" s="6" t="inlineStr">
        <is>
          <t>TC-OCRD-36</t>
        </is>
      </c>
      <c r="B44" s="6" t="inlineStr">
        <is>
          <t>Chấm cụm tên khác hoa thường, xuống dòng và NFC</t>
        </is>
      </c>
      <c r="C44" s="7" t="inlineStr">
        <is>
          <t>Đứng tại gốc repo; Python 3.10+; không cần bật Android. Fixture tạo trong TEMP.</t>
        </is>
      </c>
      <c r="D44" s="7" t="inlineStr">
        <is>
          <t>1. Chạy python -m unittest discover -s datasets/scripts -p test_ocr_dataset.py -k test_exact_newline_case_nfc -v
2. Đọc output và kiểm test cùng tên kết thúc ok. Fixture tự dọn sau chạy.</t>
        </is>
      </c>
      <c r="E44" s="7" t="inlineStr">
        <is>
          <t>DECOLGEN\nFORTE; Thuốc A + dấu sắc tổ hợp</t>
        </is>
      </c>
      <c r="F44" s="7" t="inlineStr">
        <is>
          <t>exact_name cho tên tương đương NFC/hoa thường/whitespace</t>
        </is>
      </c>
      <c r="G44" s="7" t="inlineStr">
        <is>
          <t>test_exact_newline_case_nfc: ok trong bộ 41 test chạy ngày 2026-10-29 (1.113s).</t>
        </is>
      </c>
      <c r="H44" s="6" t="inlineStr">
        <is>
          <t>Pass</t>
        </is>
      </c>
      <c r="I44" s="7" t="inlineStr">
        <is>
          <t>AC5 · EP (1) · test_exact_newline_case_nfc · evidence/test-v1-unit.log</t>
        </is>
      </c>
    </row>
    <row r="45" ht="90.5" customHeight="1">
      <c r="A45" s="6" t="inlineStr">
        <is>
          <t>TC-OCRD-37</t>
        </is>
      </c>
      <c r="B45" s="6" t="inlineStr">
        <is>
          <t>Tách tên đủ token nhưng bị ngắt hoặc đảo thứ tự</t>
        </is>
      </c>
      <c r="C45" s="7" t="inlineStr">
        <is>
          <t>Đứng tại gốc repo; Python 3.10+; không cần bật Android. Fixture tạo trong TEMP.</t>
        </is>
      </c>
      <c r="D45" s="7" t="inlineStr">
        <is>
          <t>1. Chạy python -m unittest discover -s datasets/scripts -p test_ocr_dataset.py -k test_layout_and_order_are_diagnostic_only -v
2. Đọc output và kiểm test cùng tên kết thúc ok. Fixture tự dọn sau chạy.</t>
        </is>
      </c>
      <c r="E45" s="7" t="inlineStr">
        <is>
          <t>Decolgen PHARMA FORTE; FORTE Decolgen; Decolgen</t>
        </is>
      </c>
      <c r="F45" s="7" t="inlineStr">
        <is>
          <t>tokens_present_noncontiguous hoặc partial_name; không exact</t>
        </is>
      </c>
      <c r="G45" s="7" t="inlineStr">
        <is>
          <t>test_layout_and_order_are_diagnostic_only: ok trong bộ 41 test chạy ngày 2026-10-29 (1.113s).</t>
        </is>
      </c>
      <c r="H45" s="6" t="inlineStr">
        <is>
          <t>Pass</t>
        </is>
      </c>
      <c r="I45" s="7" t="inlineStr">
        <is>
          <t>AC5 · EP (2) · test_layout_and_order_are_diagnostic_only · evidence/test-v1-unit.log</t>
        </is>
      </c>
    </row>
    <row r="46" ht="90.5" customHeight="1">
      <c r="A46" s="6" t="inlineStr">
        <is>
          <t>TC-OCRD-38</t>
        </is>
      </c>
      <c r="B46" s="6" t="inlineStr">
        <is>
          <t>Kiểm đủ số lần lặp token trong tên</t>
        </is>
      </c>
      <c r="C46" s="7" t="inlineStr">
        <is>
          <t>Đứng tại gốc repo; Python 3.10+; không cần bật Android. Fixture tạo trong TEMP.</t>
        </is>
      </c>
      <c r="D46" s="7" t="inlineStr">
        <is>
          <t>1. Chạy python -m unittest discover -s datasets/scripts -p test_ocr_dataset.py -k test_repeated_tokens_need_repeated_occurrences -v
2. Đọc output và kiểm test cùng tên kết thúc ok. Fixture tự dọn sau chạy.</t>
        </is>
      </c>
      <c r="E46" s="7" t="inlineStr">
        <is>
          <t>Raw A; nhãn A A</t>
        </is>
      </c>
      <c r="F46" s="7" t="inlineStr">
        <is>
          <t>partial_name, không coi một token A là hai lần</t>
        </is>
      </c>
      <c r="G46" s="7" t="inlineStr">
        <is>
          <t>test_repeated_tokens_need_repeated_occurrences: ok trong bộ 41 test chạy ngày 2026-10-29 (1.113s).</t>
        </is>
      </c>
      <c r="H46" s="6" t="inlineStr">
        <is>
          <t>Pass</t>
        </is>
      </c>
      <c r="I46" s="7" t="inlineStr">
        <is>
          <t>AC5 · BVA (1 token so với 2 token) · test_repeated_tokens_need_repeated_occurrences · evidence/test-v1-unit.log</t>
        </is>
      </c>
    </row>
    <row r="47" ht="90.5" customHeight="1">
      <c r="A47" s="6" t="inlineStr">
        <is>
          <t>TC-OCRD-39</t>
        </is>
      </c>
      <c r="B47" s="6" t="inlineStr">
        <is>
          <t>Không suy hàm lượng từ nhãn trống hoặc nhiều thành phần</t>
        </is>
      </c>
      <c r="C47" s="7" t="inlineStr">
        <is>
          <t>Đứng tại gốc repo; Python 3.10+; không cần bật Android. Fixture tạo trong TEMP.</t>
        </is>
      </c>
      <c r="D47" s="7" t="inlineStr">
        <is>
          <t>1. Chạy python -m unittest discover -s datasets/scripts -p test_ocr_dataset.py -k test_strength_no_guessing_multiple_components -v
2. Đọc output và kiểm test cùng tên kết thúc ok. Fixture tự dọn sau chạy.</t>
        </is>
      </c>
      <c r="E47" s="7" t="inlineStr">
        <is>
          <t>(blank); Paracetamol 500 mg + X 2 mg; unusable raw</t>
        </is>
      </c>
      <c r="F47" s="7" t="inlineStr">
        <is>
          <t>unscored; requires_component_protocol; incorrect tương ứng</t>
        </is>
      </c>
      <c r="G47" s="7" t="inlineStr">
        <is>
          <t>test_strength_no_guessing_multiple_components: ok trong bộ 41 test chạy ngày 2026-10-29 (1.113s).</t>
        </is>
      </c>
      <c r="H47" s="6" t="inlineStr">
        <is>
          <t>Pass</t>
        </is>
      </c>
      <c r="I47" s="7" t="inlineStr">
        <is>
          <t>AC10 · Phân lớp tương đương · test_strength_no_guessing_multiple_components · evidence/test-v1-unit.log</t>
        </is>
      </c>
    </row>
    <row r="48" ht="90.5" customHeight="1">
      <c r="A48" s="6" t="inlineStr">
        <is>
          <t>TC-OCRD-40</t>
        </is>
      </c>
      <c r="B48" s="6" t="inlineStr">
        <is>
          <t>Chấm hàm lượng đơn và kiểm ranh giới số</t>
        </is>
      </c>
      <c r="C48" s="7" t="inlineStr">
        <is>
          <t>Đứng tại gốc repo; Python 3.10+; không cần bật Android. Fixture tạo trong TEMP.</t>
        </is>
      </c>
      <c r="D48" s="7" t="inlineStr">
        <is>
          <t>1. Chạy python -m unittest discover -s datasets/scripts -p test_ocr_dataset.py -k test_strength_single_occurrence_boundaries -v
2. Đọc output và kiểm test cùng tên kết thúc ok. Fixture tự dọn sau chạy.</t>
        </is>
      </c>
      <c r="E48" s="7" t="inlineStr">
        <is>
          <t>500mg; 500 mg; 1500 mg; 0.500 mg</t>
        </is>
      </c>
      <c r="F48" s="7" t="inlineStr">
        <is>
          <t>500mg khớp 500 mg; không khớp 1500/0.500 mg</t>
        </is>
      </c>
      <c r="G48" s="7" t="inlineStr">
        <is>
          <t>test_strength_single_occurrence_boundaries: ok trong bộ 41 test chạy ngày 2026-10-29 (1.113s).</t>
        </is>
      </c>
      <c r="H48" s="6" t="inlineStr">
        <is>
          <t>Pass</t>
        </is>
      </c>
      <c r="I48" s="7" t="inlineStr">
        <is>
          <t>AC10 · BVA (ranh giới số và đơn vị) · test_strength_single_occurrence_boundaries · evidence/test-v1-unit.log</t>
        </is>
      </c>
    </row>
    <row r="49" ht="90.5" customHeight="1">
      <c r="A49" s="6" t="inlineStr">
        <is>
          <t>TC-OCRD-41</t>
        </is>
      </c>
      <c r="B49" s="6" t="inlineStr">
        <is>
          <t>Tính median/p95 và loại timing không hợp lệ</t>
        </is>
      </c>
      <c r="C49" s="7" t="inlineStr">
        <is>
          <t>Đứng tại gốc repo; Python 3.10+; không cần bật Android. Fixture tạo trong TEMP.</t>
        </is>
      </c>
      <c r="D49" s="7" t="inlineStr">
        <is>
          <t>1. Chạy python -m unittest discover -s datasets/scripts -p test_ocr_dataset.py -k test_timing_and_nearest_rank -v
2. Đọc output và kiểm test cùng tên kết thúc ok. Fixture tự dọn sau chạy.</t>
        </is>
      </c>
      <c r="E49" s="7" t="inlineStr">
        <is>
          <t>[0,10,100]; []; True; -1; NaN; inf; None</t>
        </is>
      </c>
      <c r="F49" s="7" t="inlineStr">
        <is>
          <t>median=10,p95=100,n=3; N/A khi rỗng; chỉ số hữu hạn &gt;=0</t>
        </is>
      </c>
      <c r="G49" s="7" t="inlineStr">
        <is>
          <t>test_timing_and_nearest_rank: ok trong bộ 41 test chạy ngày 2026-10-29 (1.113s).</t>
        </is>
      </c>
      <c r="H49" s="6" t="inlineStr">
        <is>
          <t>Pass</t>
        </is>
      </c>
      <c r="I49" s="7" t="inlineStr">
        <is>
          <t>AC5 · BVA (âm, 0, dương, không hữu hạn) · test_timing_and_nearest_rank · evidence/test-v1-unit.log</t>
        </is>
      </c>
    </row>
    <row r="50" ht="74" customHeight="1">
      <c r="A50" s="6" t="inlineStr">
        <is>
          <t>TC-OCRD-42</t>
        </is>
      </c>
      <c r="B50" s="6" t="inlineStr">
        <is>
          <t>Nhập và nhập lại 49 raw thật không thay byte</t>
        </is>
      </c>
      <c r="C50" s="7" t="inlineStr">
        <is>
          <t>Có pilot-002 v1, không cần bật emulator.</t>
        </is>
      </c>
      <c r="D50" s="7" t="inlineStr">
        <is>
          <t>1. Chạy python work/4.09-mlkit-prototype/scratch/test_v1_pipeline.py
2. Đọc PASS HOST1 và hash raw trên bản sao scratch.</t>
        </is>
      </c>
      <c r="E50" s="7" t="inlineStr">
        <is>
          <t>49 JSON pilot-002, cùng source nhập hai lần.</t>
        </is>
      </c>
      <c r="F50" s="7" t="inlineStr">
        <is>
          <t>Hai lần exit0, 49 raw được giữ nguyên byte.</t>
        </is>
      </c>
      <c r="G50" s="7" t="inlineStr">
        <is>
          <t>PASS HOST1; 49 payloads khớp hash sau re-import.</t>
        </is>
      </c>
      <c r="H50" s="6" t="inlineStr">
        <is>
          <t>Pass</t>
        </is>
      </c>
      <c r="I50" s="7" t="inlineStr">
        <is>
          <t>AC2, AC11 · Decision Table (R1,R2) · evidence/test-v1-integration.log</t>
        </is>
      </c>
    </row>
    <row r="51" ht="74" customHeight="1">
      <c r="A51" s="6" t="inlineStr">
        <is>
          <t>TC-OCRD-43</t>
        </is>
      </c>
      <c r="B51" s="6" t="inlineStr">
        <is>
          <t>Đối chiếu thống kê report với v1 thật</t>
        </is>
      </c>
      <c r="C51" s="7" t="inlineStr">
        <is>
          <t>Có 49 nhãn và 49 raw/mapping của pilot-002.</t>
        </is>
      </c>
      <c r="D51" s="7" t="inlineStr">
        <is>
          <t>1. Chạy python work/4.09-mlkit-prototype/scratch/test_v1_pipeline.py
2. Đọc PASS HOST2 và CSV/summary trong scratch.</t>
        </is>
      </c>
      <c r="E51" s="7" t="inlineStr">
        <is>
          <t>49 ảnh, exact27/partial5/token rời2/name_not_found14/no_text1.</t>
        </is>
      </c>
      <c r="F51" s="7" t="inlineStr">
        <is>
          <t>Exit0; coverage49/49, exact27; không lỗi dữ liệu.</t>
        </is>
      </c>
      <c r="G51" s="7" t="inlineStr">
        <is>
          <t>PASS HOST2; 49/49, 27 exact, các partial/failure vẫn hiện rõ.</t>
        </is>
      </c>
      <c r="H51" s="6" t="inlineStr">
        <is>
          <t>Pass</t>
        </is>
      </c>
      <c r="I51" s="7" t="inlineStr">
        <is>
          <t>AC5, AC12, AC13 · Kiểm CLI · evidence/test-v1-integration.log</t>
        </is>
      </c>
    </row>
    <row r="52" ht="74" customHeight="1">
      <c r="A52" s="6" t="inlineStr">
        <is>
          <t>TC-OCRD-44</t>
        </is>
      </c>
      <c r="B52" s="6" t="inlineStr">
        <is>
          <t>Không sinh benchmark go khi chưa có frozen protocol</t>
        </is>
      </c>
      <c r="C52" s="7" t="inlineStr">
        <is>
          <t>Pilot v1 không lỗi dữ liệu, không protocol/manifest benchmark.</t>
        </is>
      </c>
      <c r="D52" s="7" t="inlineStr">
        <is>
          <t>1. Chạy python work/4.09-mlkit-prototype/scratch/test_v1_pipeline.py
2. Đọc PASS HOST3 và summary mode benchmark trong scratch.</t>
        </is>
      </c>
      <c r="E52" s="7" t="inlineStr">
        <is>
          <t>49 raw; --mode benchmark; thiếu protocol.</t>
        </is>
      </c>
      <c r="F52" s="7" t="inlineStr">
        <is>
          <t>Exit0 vì dữ liệu hợp lệ; decision=pending, không benchmark go.</t>
        </is>
      </c>
      <c r="G52" s="7" t="inlineStr">
        <is>
          <t>PASS HOST3; pending; pilot tự động vẫn not_decided.</t>
        </is>
      </c>
      <c r="H52" s="6" t="inlineStr">
        <is>
          <t>Pass</t>
        </is>
      </c>
      <c r="I52" s="7" t="inlineStr">
        <is>
          <t>AC7, AC8 · Bảng quyết định · evidence/test-v1-integration.log</t>
        </is>
      </c>
    </row>
    <row r="53" ht="57.5" customHeight="1">
      <c r="A53" s="6" t="inlineStr">
        <is>
          <t>TC-OCRD-45</t>
        </is>
      </c>
      <c r="B53" s="6" t="inlineStr">
        <is>
          <t>Xuất đủ 17 ảnh chưa chạy từ dataset thật</t>
        </is>
      </c>
      <c r="C53" s="7" t="inlineStr">
        <is>
          <t>Workbook v1 có 49 nhãn hợp lệ.</t>
        </is>
      </c>
      <c r="D53" s="7" t="inlineStr">
        <is>
          <t>1. Chạy python work/4.09-mlkit-prototype/scratch/test_v1_pipeline.py
2. Đọc PASS HOST4.</t>
        </is>
      </c>
      <c r="E53" s="7" t="inlineStr">
        <is>
          <t>49 nhãn, raw folder rỗng.</t>
        </is>
      </c>
      <c r="F53" s="7" t="inlineStr">
        <is>
          <t>Exit0, 49 not_run, accuracy=null.</t>
        </is>
      </c>
      <c r="G53" s="7" t="inlineStr">
        <is>
          <t>PASS HOST4; đủ 49 ảnh chưa chạy và N/A accuracy.</t>
        </is>
      </c>
      <c r="H53" s="6" t="inlineStr">
        <is>
          <t>Pass</t>
        </is>
      </c>
      <c r="I53" s="7" t="inlineStr">
        <is>
          <t>AC5, AC9, AC13 · Phân lớp tương đương · evidence/test-v1-integration.log</t>
        </is>
      </c>
    </row>
    <row r="54" ht="57.5" customHeight="1">
      <c r="A54" s="6" t="inlineStr">
        <is>
          <t>TC-OCRD-46</t>
        </is>
      </c>
      <c r="B54" s="6" t="inlineStr">
        <is>
          <t>Giữ nguyên ảnh/nhãn/raw gốc sau pipeline</t>
        </is>
      </c>
      <c r="C54" s="7" t="inlineStr">
        <is>
          <t>Có snapshot v1 và 49 raw gốc.</t>
        </is>
      </c>
      <c r="D54" s="7" t="inlineStr">
        <is>
          <t>1. Chạy python work/4.09-mlkit-prototype/scratch/test_v1_pipeline.py
2. Đối chiếu PASS HOST5.</t>
        </is>
      </c>
      <c r="E54" s="7" t="inlineStr">
        <is>
          <t>Workbook, annotations, manifest, 49 ảnh và 49 raw.</t>
        </is>
      </c>
      <c r="F54" s="7" t="inlineStr">
        <is>
          <t>Mọi byte hash nguồn trước/sau đều khớp.</t>
        </is>
      </c>
      <c r="G54" s="7" t="inlineStr">
        <is>
          <t>PASS HOST5; mọi nguồn giữ nguyên.</t>
        </is>
      </c>
      <c r="H54" s="6" t="inlineStr">
        <is>
          <t>Pass</t>
        </is>
      </c>
      <c r="I54" s="7" t="inlineStr">
        <is>
          <t>AC6, AC11 · Kiểm bất biến · evidence/test-v1-integration.log</t>
        </is>
      </c>
    </row>
    <row r="55" ht="74" customHeight="1">
      <c r="A55" s="6" t="inlineStr">
        <is>
          <t>TC-OCRD-47</t>
        </is>
      </c>
      <c r="B55" s="6" t="inlineStr">
        <is>
          <t>Xác minh nhãn và hàm lượng bằng ảnh bao bì</t>
        </is>
      </c>
      <c r="C55" s="7" t="inlineStr">
        <is>
          <t>Có người kiểm tra độc lập; giữ nguyên ảnh gốc và workbook.</t>
        </is>
      </c>
      <c r="D55" s="7" t="inlineStr">
        <is>
          <t>1. Đối chiếu lần lượt 49 ảnh v1 với drug_name/strength và annotations.v1.csv.
2. Ghi người/ngày xác minh; phần không nhìn thấy không đoán.</t>
        </is>
      </c>
      <c r="E55" s="7" t="inlineStr">
        <is>
          <t>49 ảnh v1; Efferalgan 500mg; Tiffy nhiều thành phần; 1-AL hộp trắng không thấy strength; các nhãn vừa rà theo ảnh.</t>
        </is>
      </c>
      <c r="F55" s="7" t="inlineStr">
        <is>
          <t>Nhãn được xác minh từ ảnh; strength thiếu/multi-component chưa có protocol thì unscored.</t>
        </is>
      </c>
      <c r="G55" s="7" t="inlineStr"/>
      <c r="H55" s="6" t="inlineStr">
        <is>
          <t>Pending</t>
        </is>
      </c>
      <c r="I55" s="7" t="inlineStr">
        <is>
          <t>AC5, AC10 · manual · chưa có kiểm tra độc lập phiên này</t>
        </is>
      </c>
    </row>
    <row r="56" ht="74" customHeight="1">
      <c r="A56" s="6" t="inlineStr">
        <is>
          <t>TC-OCRD-49</t>
        </is>
      </c>
      <c r="B56" s="6" t="inlineStr">
        <is>
          <t>Đối chiếu GO kỹ thuật của người phụ trách với pilot tự động</t>
        </is>
      </c>
      <c r="C56" s="7" t="inlineStr">
        <is>
          <t>Có manifest v1 và decision/report pilot-002 đã được lập theo xác nhận người dùng.</t>
        </is>
      </c>
      <c r="D56" s="7" t="inlineStr">
        <is>
          <t>1. Chạy bundled Python work/4.08-ocr-capture-evaluation/scratch/verify_v1.py.
2. Kiểm PASS T8, ngày/lý do/giới hạn quyết định và SHA-256 report/raw.</t>
        </is>
      </c>
      <c r="E56" s="7" t="inlineStr">
        <is>
          <t>decision=go,decision_type=engineering_pilot,decided_at=2026-10-29; summary decision=not_decided.</t>
        </is>
      </c>
      <c r="F56" s="7" t="inlineStr">
        <is>
          <t>Quyết định riêng hợp lệ, hash snapshot/report/raw khớp; không tuyên bố đạt benchmark hoặc matching.</t>
        </is>
      </c>
      <c r="G56" s="7" t="inlineStr">
        <is>
          <t>PASS T8; GO kỹ thuật riêng, automatic not_decided; đủ hash, ngày/lý do/giới hạn.</t>
        </is>
      </c>
      <c r="H56" s="6" t="inlineStr">
        <is>
          <t>Pass</t>
        </is>
      </c>
      <c r="I56" s="7" t="inlineStr">
        <is>
          <t>AC7, AC8, AC13 · Bảng quyết định · ../4.08-ocr-capture-evaluation/evidence/test-v1-integrity.log</t>
        </is>
      </c>
    </row>
    <row r="57"/>
    <row r="58"/>
    <row r="59">
      <c r="G59" s="10" t="inlineStr">
        <is>
          <t>Pass</t>
        </is>
      </c>
      <c r="H59" s="11">
        <f>COUNTIF(H9:H56,"Pass")</f>
        <v/>
      </c>
    </row>
    <row r="60">
      <c r="G60" s="10" t="inlineStr">
        <is>
          <t>Fail</t>
        </is>
      </c>
      <c r="H60" s="11">
        <f>COUNTIF(H9:H56,"Fail")</f>
        <v/>
      </c>
    </row>
    <row r="61">
      <c r="G61" s="10" t="inlineStr">
        <is>
          <t>Pending</t>
        </is>
      </c>
      <c r="H61" s="11">
        <f>COUNTIF(H9:H56,"Pending")</f>
        <v/>
      </c>
    </row>
    <row r="62">
      <c r="G62" s="10" t="inlineStr">
        <is>
          <t>Total</t>
        </is>
      </c>
      <c r="H62" s="11">
        <f>SUM(H59:H61)</f>
        <v/>
      </c>
    </row>
  </sheetData>
  <autoFilter ref="A8:I56"/>
  <conditionalFormatting sqref="H9:H56">
    <cfRule type="cellIs" priority="1" operator="equal" dxfId="0">
      <formula>"Fail"</formula>
    </cfRule>
  </conditionalFormatting>
  <dataValidations count="1">
    <dataValidation sqref="H9:H56" showDropDown="0" showInputMessage="0" showErrorMessage="0" allowBlank="0" type="list">
      <formula1>"Pass,Fail,Pending"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30" customWidth="1" min="3" max="3"/>
    <col width="24" customWidth="1" min="4" max="4"/>
    <col width="24" customWidth="1" min="5" max="5"/>
    <col width="24" customWidth="1" min="6" max="6"/>
    <col width="14" customWidth="1" min="7" max="7"/>
    <col width="40" customWidth="1" min="8" max="8"/>
    <col width="45" customWidth="1" min="9" max="9"/>
  </cols>
  <sheetData>
    <row r="1">
      <c r="A1" s="14" t="inlineStr">
        <is>
          <t>TEST REPORT</t>
        </is>
      </c>
    </row>
    <row r="2">
      <c r="C2" s="15" t="inlineStr">
        <is>
          <t>Bao Nguyen</t>
        </is>
      </c>
      <c r="D2" s="15" t="inlineStr">
        <is>
          <t>Total</t>
        </is>
      </c>
    </row>
    <row r="3">
      <c r="A3" s="15" t="inlineStr">
        <is>
          <t>Executed</t>
        </is>
      </c>
      <c r="B3" s="8" t="inlineStr">
        <is>
          <t>Passed</t>
        </is>
      </c>
      <c r="C3" s="13">
        <f>'OCR Prototype'!$H$19+'OCR Dataset'!$H$59</f>
        <v/>
      </c>
      <c r="D3" s="15">
        <f>SUM(C3:C3)</f>
        <v/>
      </c>
    </row>
    <row r="4">
      <c r="A4" s="16" t="n"/>
      <c r="B4" s="8" t="inlineStr">
        <is>
          <t>Failed</t>
        </is>
      </c>
      <c r="C4" s="13">
        <f>'OCR Prototype'!$H$20+'OCR Dataset'!$H$60</f>
        <v/>
      </c>
      <c r="D4" s="15">
        <f>SUM(C4:C4)</f>
        <v/>
      </c>
    </row>
    <row r="5">
      <c r="A5" s="17" t="n"/>
      <c r="B5" s="8" t="inlineStr">
        <is>
          <t>(Total) Test executed (Passed + Failed)</t>
        </is>
      </c>
      <c r="C5" s="13">
        <f>C3+C4</f>
        <v/>
      </c>
      <c r="D5" s="15">
        <f>SUM(C5:C5)</f>
        <v/>
      </c>
    </row>
    <row r="6">
      <c r="A6" s="15" t="inlineStr">
        <is>
          <t>Pending</t>
        </is>
      </c>
      <c r="B6" s="9" t="inlineStr"/>
      <c r="C6" s="13">
        <f>'OCR Prototype'!$H$21+'OCR Dataset'!$H$61</f>
        <v/>
      </c>
      <c r="D6" s="15">
        <f>SUM(C6:C6)</f>
        <v/>
      </c>
    </row>
    <row r="7">
      <c r="A7" s="15" t="inlineStr">
        <is>
          <t>(Sub-total) Test Planned</t>
        </is>
      </c>
      <c r="B7" s="9" t="inlineStr"/>
      <c r="C7" s="13">
        <f>C5+C6</f>
        <v/>
      </c>
      <c r="D7" s="15">
        <f>SUM(C7:C7)</f>
        <v/>
      </c>
    </row>
    <row r="10">
      <c r="A10" s="5" t="inlineStr">
        <is>
          <t>Function</t>
        </is>
      </c>
      <c r="B10" s="5" t="inlineStr">
        <is>
          <t>Description</t>
        </is>
      </c>
      <c r="C10" s="5" t="inlineStr">
        <is>
          <t>Sheet Name</t>
        </is>
      </c>
      <c r="D10" s="5" t="inlineStr">
        <is>
          <t>% TCs Executed</t>
        </is>
      </c>
      <c r="E10" s="5" t="inlineStr">
        <is>
          <t>% TCs Passed</t>
        </is>
      </c>
      <c r="F10" s="5" t="inlineStr">
        <is>
          <t>% TCs Failed</t>
        </is>
      </c>
      <c r="G10" s="5" t="inlineStr">
        <is>
          <t>Priority</t>
        </is>
      </c>
      <c r="H10" s="5" t="inlineStr">
        <is>
          <t>Remarks</t>
        </is>
      </c>
      <c r="I10" s="5" t="inlineStr">
        <is>
          <t>Done by</t>
        </is>
      </c>
    </row>
    <row r="11" ht="74" customHeight="1">
      <c r="A11" s="13" t="inlineStr">
        <is>
          <t>Prototype ML Kit Android</t>
        </is>
      </c>
      <c r="B11" s="9" t="inlineStr">
        <is>
          <t>Prototype ML Kit Android</t>
        </is>
      </c>
      <c r="C11" s="13" t="inlineStr">
        <is>
          <t>OCR Prototype</t>
        </is>
      </c>
      <c r="D11" s="18">
        <f>IFERROR(('OCR Prototype'!$H$22-'OCR Prototype'!$H$21)/'OCR Prototype'!$H$22,0)</f>
        <v/>
      </c>
      <c r="E11" s="18">
        <f>IFERROR('OCR Prototype'!$H$19/'OCR Prototype'!$H$22,0)</f>
        <v/>
      </c>
      <c r="F11" s="18">
        <f>IFERROR('OCR Prototype'!$H$20/'OCR Prototype'!$H$22,0)</f>
        <v/>
      </c>
      <c r="G11" s="13" t="inlineStr">
        <is>
          <t>Medium</t>
        </is>
      </c>
      <c r="H11" s="9" t="inlineStr">
        <is>
          <t>Cập nhật 2026-10-29: pilot v1 49 ảnh; GO kỹ thuật riêng; manual chưa chạy giữ Pending.</t>
        </is>
      </c>
      <c r="I11" s="13" t="inlineStr">
        <is>
          <t>Bao Nguyen</t>
        </is>
      </c>
    </row>
    <row r="12" ht="74" customHeight="1">
      <c r="A12" s="13" t="inlineStr">
        <is>
          <t>Nhập và đánh giá OCR dataset</t>
        </is>
      </c>
      <c r="B12" s="9" t="inlineStr">
        <is>
          <t>Nhập và đánh giá OCR dataset</t>
        </is>
      </c>
      <c r="C12" s="13" t="inlineStr">
        <is>
          <t>OCR Dataset</t>
        </is>
      </c>
      <c r="D12" s="18">
        <f>IFERROR(('OCR Dataset'!$H$62-'OCR Dataset'!$H$61)/'OCR Dataset'!$H$62,0)</f>
        <v/>
      </c>
      <c r="E12" s="18">
        <f>IFERROR('OCR Dataset'!$H$59/'OCR Dataset'!$H$62,0)</f>
        <v/>
      </c>
      <c r="F12" s="18">
        <f>IFERROR('OCR Dataset'!$H$60/'OCR Dataset'!$H$62,0)</f>
        <v/>
      </c>
      <c r="G12" s="13" t="inlineStr">
        <is>
          <t>Medium</t>
        </is>
      </c>
      <c r="H12" s="9" t="inlineStr">
        <is>
          <t>Cập nhật 2026-10-29: pilot v1 49 ảnh; GO kỹ thuật riêng; manual chưa chạy giữ Pending.</t>
        </is>
      </c>
      <c r="I12" s="13" t="inlineStr">
        <is>
          <t>Bao Nguyen</t>
        </is>
      </c>
    </row>
    <row r="35">
      <c r="A35" s="19" t="inlineStr">
        <is>
          <t>Bug Report</t>
        </is>
      </c>
    </row>
    <row r="36">
      <c r="A36" s="20" t="inlineStr">
        <is>
          <t>Bug ID</t>
        </is>
      </c>
      <c r="B36" s="20" t="inlineStr">
        <is>
          <t>Description</t>
        </is>
      </c>
      <c r="C36" s="20" t="inlineStr">
        <is>
          <t>Steps to Reproduce</t>
        </is>
      </c>
      <c r="D36" s="20" t="inlineStr">
        <is>
          <t>Input Data</t>
        </is>
      </c>
      <c r="E36" s="20" t="inlineStr">
        <is>
          <t>Expected Result</t>
        </is>
      </c>
      <c r="F36" s="20" t="inlineStr">
        <is>
          <t>Actual Result</t>
        </is>
      </c>
      <c r="G36" s="20" t="inlineStr">
        <is>
          <t>Severity</t>
        </is>
      </c>
      <c r="H36" s="20" t="inlineStr">
        <is>
          <t>Name of Tester</t>
        </is>
      </c>
      <c r="I36" s="20" t="inlineStr">
        <is>
          <t>Logs</t>
        </is>
      </c>
    </row>
  </sheetData>
  <mergeCells count="2">
    <mergeCell ref="A1:G1"/>
    <mergeCell ref="A3:A5"/>
  </mergeCells>
  <conditionalFormatting sqref="F11:F12">
    <cfRule type="cellIs" priority="1" operator="greaterThan" dxfId="0">
      <formula>0.2</formula>
    </cfRule>
  </conditionalFormatting>
  <conditionalFormatting sqref="G11:G12">
    <cfRule type="expression" priority="2" dxfId="0">
      <formula>OR(G11="Critical",G11="High")</formula>
    </cfRule>
  </conditionalFormatting>
  <conditionalFormatting sqref="G37">
    <cfRule type="cellIs" priority="3" operator="equal" dxfId="1">
      <formula>"Critical"</formula>
    </cfRule>
    <cfRule type="cellIs" priority="4" operator="equal" dxfId="2">
      <formula>"High"</formula>
    </cfRule>
    <cfRule type="cellIs" priority="5" operator="equal" dxfId="3">
      <formula>"Medium"</formula>
    </cfRule>
  </conditionalFormatting>
  <dataValidations count="2">
    <dataValidation sqref="G11:G12" showDropDown="0" showInputMessage="0" showErrorMessage="0" allowBlank="1" type="list">
      <formula1>"Critical,High,Medium,Low"</formula1>
    </dataValidation>
    <dataValidation sqref="G37" showDropDown="0" showInputMessage="0" showErrorMessage="0" allowBlank="1" type="list">
      <formula1>"Critical,High,Medium,Low"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2026-10-29T09:41:21Z</dcterms:created>
  <dcterms:modified xmlns:dcterms="http://purl.org/dc/terms/" xmlns:xsi="http://www.w3.org/2001/XMLSchema-instance" xsi:type="dcterms:W3CDTF">2026-10-29T09:41:21Z</dcterms:modified>
</cp:coreProperties>
</file>