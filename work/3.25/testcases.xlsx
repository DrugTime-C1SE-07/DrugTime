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ịch sử tuân thủ người thân" sheetId="1" state="visible" r:id="rId1"/>
    <sheet name="Report" sheetId="2" state="visible" r:id="rId2"/>
  </sheets>
  <definedNames>
    <definedName name="_xlnm._FilterDatabase" localSheetId="0" hidden="1">'Lịch sử tuân thủ người thân'!$A$8:$I$61</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7">
    <font>
      <name val="Calibri"/>
      <family val="2"/>
      <color theme="1"/>
      <sz val="11"/>
      <scheme val="minor"/>
    </font>
    <font>
      <name val="Times New Roman"/>
      <b val="1"/>
      <sz val="12"/>
    </font>
    <font>
      <name val="Times New Roman"/>
      <sz val="12"/>
    </font>
    <font>
      <name val="Times New Roman"/>
      <b val="1"/>
      <sz val="11"/>
    </font>
    <font>
      <name val="Times New Roman"/>
      <sz val="11"/>
    </font>
    <font>
      <name val="Times New Roman"/>
      <b val="1"/>
      <sz val="18"/>
    </font>
    <font>
      <name val="Times New Roman"/>
      <b val="1"/>
      <sz val="14"/>
    </font>
  </fonts>
  <fills count="5">
    <fill>
      <patternFill/>
    </fill>
    <fill>
      <patternFill patternType="gray125"/>
    </fill>
    <fill>
      <patternFill patternType="solid">
        <fgColor rgb="006AA84F"/>
      </patternFill>
    </fill>
    <fill>
      <patternFill patternType="solid">
        <fgColor rgb="00A8D08D"/>
      </patternFill>
    </fill>
    <fill>
      <patternFill patternType="solid">
        <fgColor rgb="00FFFF00"/>
      </patternFill>
    </fill>
  </fills>
  <borders count="6">
    <border>
      <left/>
      <right/>
      <top/>
      <bottom/>
      <diagonal/>
    </border>
    <border>
      <left style="medium"/>
      <right style="medium"/>
      <top style="medium"/>
      <bottom style="medium"/>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165" fontId="2" fillId="2" borderId="1" applyAlignment="1" pivotButton="0" quotePrefix="0" xfId="0">
      <alignment horizontal="center" vertical="center" wrapText="1"/>
    </xf>
    <xf numFmtId="0" fontId="1" fillId="0" borderId="0" applyAlignment="1" pivotButton="0" quotePrefix="0" xfId="0">
      <alignment horizontal="left" vertical="center" wrapText="1"/>
    </xf>
    <xf numFmtId="0" fontId="1" fillId="2" borderId="2" applyAlignment="1" pivotButton="0" quotePrefix="0" xfId="0">
      <alignment horizontal="center" vertical="center" wrapText="1"/>
    </xf>
    <xf numFmtId="0" fontId="1" fillId="2" borderId="2"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1" fillId="0" borderId="2" applyAlignment="1" pivotButton="0" quotePrefix="0" xfId="0">
      <alignment horizontal="left" vertical="center" wrapText="1"/>
    </xf>
    <xf numFmtId="0" fontId="2" fillId="0" borderId="2" applyAlignment="1" pivotButton="0" quotePrefix="0" xfId="0">
      <alignment horizontal="left" vertical="center" wrapText="1"/>
    </xf>
    <xf numFmtId="0" fontId="2" fillId="0" borderId="2" applyAlignment="1" pivotButton="0" quotePrefix="0" xfId="0">
      <alignment horizontal="center" vertical="center" wrapText="1"/>
    </xf>
    <xf numFmtId="0" fontId="3" fillId="3" borderId="2" applyAlignment="1" pivotButton="0" quotePrefix="0" xfId="0">
      <alignment horizontal="center" vertical="center" wrapText="1"/>
    </xf>
    <xf numFmtId="0" fontId="4" fillId="3" borderId="2" applyAlignment="1" pivotButton="0" quotePrefix="0" xfId="0">
      <alignment horizontal="center" vertical="center" wrapText="1"/>
    </xf>
    <xf numFmtId="0" fontId="5" fillId="3" borderId="0" applyAlignment="1" pivotButton="0" quotePrefix="0" xfId="0">
      <alignment horizontal="center" vertical="center" wrapText="1"/>
    </xf>
    <xf numFmtId="0" fontId="1" fillId="0" borderId="2" applyAlignment="1" pivotButton="0" quotePrefix="0" xfId="0">
      <alignment horizontal="center" vertical="center" wrapText="1"/>
    </xf>
    <xf numFmtId="0" fontId="0" fillId="0" borderId="4" pivotButton="0" quotePrefix="0" xfId="0"/>
    <xf numFmtId="0" fontId="0" fillId="0" borderId="5" pivotButton="0" quotePrefix="0" xfId="0"/>
    <xf numFmtId="9" fontId="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3" fillId="4" borderId="2" applyAlignment="1" pivotButton="0" quotePrefix="0" xfId="0">
      <alignment horizontal="center" vertical="center" wrapText="1"/>
    </xf>
    <xf numFmtId="0" fontId="4" fillId="0" borderId="2" applyAlignment="1" pivotButton="0" quotePrefix="0" xfId="0">
      <alignment horizontal="left" vertical="center" wrapText="1"/>
    </xf>
  </cellXfs>
  <cellStyles count="1">
    <cellStyle name="Normal" xfId="0" builtinId="0" hidden="0"/>
  </cellStyles>
  <dxfs count="4">
    <dxf>
      <font>
        <color rgb="009C0006"/>
      </font>
      <fill>
        <patternFill patternType="solid">
          <bgColor rgb="00FFC7CE"/>
        </patternFill>
      </fill>
    </dxf>
    <dxf>
      <font>
        <b val="1"/>
        <color rgb="00FFFFFF"/>
      </font>
      <fill>
        <patternFill patternType="solid">
          <bgColor rgb="00C00000"/>
        </patternFill>
      </fill>
    </dxf>
    <dxf>
      <font>
        <b val="1"/>
        <color rgb="00FFFFFF"/>
      </font>
      <fill>
        <patternFill patternType="solid">
          <bgColor rgb="00FF0000"/>
        </patternFill>
      </fill>
    </dxf>
    <dxf>
      <font>
        <b val="1"/>
        <color rgb="00000000"/>
      </font>
      <fill>
        <patternFill patternType="solid">
          <bgColor rgb="00FFE5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Kết quả theo chức năng</a:t>
            </a:r>
          </a:p>
        </rich>
      </tx>
    </title>
    <plotArea>
      <barChart>
        <barDir val="col"/>
        <grouping val="clustered"/>
        <ser>
          <idx val="0"/>
          <order val="0"/>
          <tx>
            <strRef>
              <f>'Report'!D10</f>
            </strRef>
          </tx>
          <spPr>
            <a:ln>
              <a:prstDash val="solid"/>
            </a:ln>
          </spPr>
          <cat>
            <numRef>
              <f>'Report'!$A$11</f>
            </numRef>
          </cat>
          <val>
            <numRef>
              <f>'Report'!$D$11</f>
            </numRef>
          </val>
        </ser>
        <ser>
          <idx val="1"/>
          <order val="1"/>
          <tx>
            <strRef>
              <f>'Report'!E10</f>
            </strRef>
          </tx>
          <spPr>
            <a:ln>
              <a:prstDash val="solid"/>
            </a:ln>
          </spPr>
          <cat>
            <numRef>
              <f>'Report'!$A$11</f>
            </numRef>
          </cat>
          <val>
            <numRef>
              <f>'Report'!$E$11</f>
            </numRef>
          </val>
        </ser>
        <ser>
          <idx val="2"/>
          <order val="2"/>
          <tx>
            <strRef>
              <f>'Report'!F10</f>
            </strRef>
          </tx>
          <spPr>
            <a:ln>
              <a:prstDash val="solid"/>
            </a:ln>
          </spPr>
          <cat>
            <numRef>
              <f>'Report'!$A$11</f>
            </numRef>
          </cat>
          <val>
            <numRef>
              <f>'Report'!$F$11</f>
            </numRef>
          </val>
        </ser>
        <gapWidth val="150"/>
        <axId val="10"/>
        <axId val="100"/>
      </barChart>
      <catAx>
        <axId val="10"/>
        <scaling>
          <orientation val="minMax"/>
        </scaling>
        <delete val="0"/>
        <axPos val="l"/>
        <majorTickMark val="none"/>
        <minorTickMark val="none"/>
        <crossAx val="100"/>
        <lblOffset val="100"/>
      </catAx>
      <valAx>
        <axId val="100"/>
        <scaling>
          <orientation val="minMax"/>
          <max val="1"/>
          <min val="0"/>
        </scaling>
        <delete val="0"/>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Tổng Pass / Fail</a:t>
            </a:r>
          </a:p>
        </rich>
      </tx>
    </title>
    <plotArea>
      <pieChart>
        <varyColors val="1"/>
        <ser>
          <idx val="0"/>
          <order val="0"/>
          <spPr>
            <a:ln>
              <a:prstDash val="solid"/>
            </a:ln>
          </spPr>
          <cat>
            <numRef>
              <f>'Report'!$B$3:$B$4</f>
            </numRef>
          </cat>
          <val>
            <numRef>
              <f>'Report'!$D$3:$D$4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13</row>
      <rowOff>0</rowOff>
    </from>
    <ext cx="8640000" cy="3240000"/>
    <graphicFrame>
      <nvGraphicFramePr>
        <cNvPr id="1" name="Chart 1"/>
        <cNvGraphicFramePr/>
      </nvGraphicFramePr>
      <xfrm/>
      <a:graphic>
        <a:graphicData uri="http://schemas.openxmlformats.org/drawingml/2006/chart">
          <c:chart r:id="rId1"/>
        </a:graphicData>
      </a:graphic>
    </graphicFrame>
    <clientData/>
  </oneCellAnchor>
  <oneCellAnchor>
    <from>
      <col>5</col>
      <colOff>0</colOff>
      <row>13</row>
      <rowOff>0</rowOff>
    </from>
    <ext cx="4320000" cy="324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V67"/>
  <sheetViews>
    <sheetView workbookViewId="0">
      <pane ySplit="8" topLeftCell="A9" activePane="bottomLeft" state="frozen"/>
      <selection pane="bottomLeft" activeCell="A1" sqref="A1"/>
    </sheetView>
  </sheetViews>
  <sheetFormatPr baseColWidth="8" defaultRowHeight="15"/>
  <cols>
    <col width="18" customWidth="1" min="1" max="1"/>
    <col width="40" customWidth="1" min="2" max="2"/>
    <col width="32" customWidth="1" min="3" max="3"/>
    <col width="50" customWidth="1" min="4" max="4"/>
    <col width="32" customWidth="1" min="5" max="5"/>
    <col width="45" customWidth="1" min="6" max="6"/>
    <col width="45" customWidth="1" min="7" max="7"/>
    <col width="12" customWidth="1" min="8" max="8"/>
    <col width="34" customWidth="1" min="9" max="9"/>
    <col width="22" customWidth="1" min="11" max="11"/>
    <col width="34" customWidth="1" min="12" max="12"/>
    <col width="7" customWidth="1" min="13" max="13"/>
    <col width="34" customWidth="1" min="14" max="14"/>
    <col width="7" customWidth="1" min="15" max="15"/>
    <col width="34" customWidth="1" min="17" max="17"/>
    <col width="8" customWidth="1" min="18" max="18"/>
    <col width="8" customWidth="1" min="19" max="19"/>
    <col width="8" customWidth="1" min="20" max="20"/>
    <col width="8" customWidth="1" min="21" max="21"/>
    <col width="8" customWidth="1" min="22" max="22"/>
  </cols>
  <sheetData>
    <row r="1">
      <c r="A1" s="1" t="inlineStr">
        <is>
          <t>Project Name</t>
        </is>
      </c>
      <c r="B1" s="2" t="inlineStr">
        <is>
          <t>DrugTime</t>
        </is>
      </c>
    </row>
    <row r="2">
      <c r="A2" s="1" t="inlineStr">
        <is>
          <t>Module Name</t>
        </is>
      </c>
      <c r="B2" s="2" t="inlineStr">
        <is>
          <t>Lịch sử tuân thủ cho người thân (FADH)</t>
        </is>
      </c>
    </row>
    <row r="3">
      <c r="A3" s="1" t="inlineStr">
        <is>
          <t>Created By</t>
        </is>
      </c>
      <c r="B3" s="2" t="inlineStr">
        <is>
          <t>phucnguyenngoc</t>
        </is>
      </c>
    </row>
    <row r="4">
      <c r="A4" s="1" t="inlineStr">
        <is>
          <t>Creation Date</t>
        </is>
      </c>
      <c r="B4" s="3" t="n">
        <v>46319</v>
      </c>
    </row>
    <row r="5">
      <c r="A5" s="1" t="inlineStr">
        <is>
          <t>Reviewed By</t>
        </is>
      </c>
      <c r="B5" s="2" t="inlineStr"/>
    </row>
    <row r="6">
      <c r="A6" s="1" t="inlineStr">
        <is>
          <t>Reviewed Date</t>
        </is>
      </c>
      <c r="B6" s="2" t="n"/>
    </row>
    <row r="7">
      <c r="K7" s="4" t="inlineStr">
        <is>
          <t>Equivalence Partitioning</t>
        </is>
      </c>
      <c r="Q7" s="4" t="inlineStr">
        <is>
          <t>Quyền xem lịch sử PB21</t>
        </is>
      </c>
    </row>
    <row r="8">
      <c r="A8" s="1" t="inlineStr">
        <is>
          <t>Test Case ID</t>
        </is>
      </c>
      <c r="B8" s="1" t="inlineStr">
        <is>
          <t>Description</t>
        </is>
      </c>
      <c r="C8" s="1" t="inlineStr">
        <is>
          <t>Precondition</t>
        </is>
      </c>
      <c r="D8" s="1" t="inlineStr">
        <is>
          <t>Test Steps</t>
        </is>
      </c>
      <c r="E8" s="1" t="inlineStr">
        <is>
          <t>Test Data</t>
        </is>
      </c>
      <c r="F8" s="1" t="inlineStr">
        <is>
          <t>Expected Result</t>
        </is>
      </c>
      <c r="G8" s="1" t="inlineStr">
        <is>
          <t>Actual Result</t>
        </is>
      </c>
      <c r="H8" s="1" t="inlineStr">
        <is>
          <t>Status</t>
        </is>
      </c>
      <c r="I8" s="1" t="inlineStr">
        <is>
          <t>Comments(if any)</t>
        </is>
      </c>
      <c r="K8" s="5" t="inlineStr">
        <is>
          <t>Field</t>
        </is>
      </c>
      <c r="L8" s="5" t="inlineStr">
        <is>
          <t>Valid</t>
        </is>
      </c>
      <c r="M8" s="5" t="inlineStr">
        <is>
          <t>Num</t>
        </is>
      </c>
      <c r="N8" s="5" t="inlineStr">
        <is>
          <t>Invalid</t>
        </is>
      </c>
      <c r="O8" s="5" t="inlineStr">
        <is>
          <t>Num</t>
        </is>
      </c>
      <c r="Q8" s="6" t="inlineStr">
        <is>
          <t>Rule</t>
        </is>
      </c>
      <c r="R8" s="5" t="inlineStr">
        <is>
          <t>R1</t>
        </is>
      </c>
      <c r="S8" s="5" t="inlineStr">
        <is>
          <t>R2</t>
        </is>
      </c>
      <c r="T8" s="5" t="inlineStr">
        <is>
          <t>R3</t>
        </is>
      </c>
      <c r="U8" s="5" t="inlineStr">
        <is>
          <t>R4</t>
        </is>
      </c>
      <c r="V8" s="5" t="inlineStr">
        <is>
          <t>R5</t>
        </is>
      </c>
    </row>
    <row r="9" ht="156.5" customHeight="1">
      <c r="A9" s="7" t="inlineStr">
        <is>
          <t>TC-FADH-01</t>
        </is>
      </c>
      <c r="B9" s="7" t="inlineStr">
        <is>
          <t>Xem cùng lịch sử bằng patient và người thân</t>
        </is>
      </c>
      <c r="C9" s="8" t="inlineStr">
        <is>
          <t>DB Supabase local reset sạch; dùng fixture history_data; patient P có health_data; family F liên kết active, sharing=true và family_sharing của P còn hiệu lực.</t>
        </is>
      </c>
      <c r="D9" s="8" t="inlineStr">
        <is>
          <t>1. Tạo patient/family và lịch 08:00 qua fixture history_data.
2. Gọi GET /adherence?patient_id=P&amp;from=2026-10-19&amp;to=2026-10-19 bằng app session của F.
3. Đối chiếu response, dose_logs và access_logs bằng assertion của test nêu ở Comments.</t>
        </is>
      </c>
      <c r="E9" s="8" t="inlineStr">
        <is>
          <t>2026-10-19 08:00 +07; status=da_uong</t>
        </is>
      </c>
      <c r="F9" s="8" t="inlineStr">
        <is>
          <t>200; payload đúng contract, hai response giống nhau; mỗi caller có allowed; audit không chứa nội dung thuốc/liều.</t>
        </is>
      </c>
      <c r="G9"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9" s="7" t="inlineStr">
        <is>
          <t>Pass</t>
        </is>
      </c>
      <c r="I9" s="8" t="inlineStr">
        <is>
          <t>PB21 · AC1,AC9 · Decision Table (R1) · EP (1) · test_self_and_family_success_are_audited · evidence/test-contract-history-final.log/xml · Retest evidence/test-p7-integration.log/xml</t>
        </is>
      </c>
      <c r="K9" s="9" t="inlineStr">
        <is>
          <t>Quyền người thân</t>
        </is>
      </c>
      <c r="L9" s="10" t="inlineStr">
        <is>
          <t>Link active + sharing + hai consent</t>
        </is>
      </c>
      <c r="M9" s="10" t="inlineStr">
        <is>
          <t>1</t>
        </is>
      </c>
      <c r="N9" s="10" t="inlineStr">
        <is>
          <t>Không liên kết hoặc patient khác
Thiếu health_data
Thiếu family_sharing
Sharing tắt</t>
        </is>
      </c>
      <c r="O9" s="10" t="inlineStr">
        <is>
          <t>4
5
6
7</t>
        </is>
      </c>
      <c r="Q9" s="10" t="inlineStr">
        <is>
          <t>Link active</t>
        </is>
      </c>
      <c r="R9" s="11" t="inlineStr">
        <is>
          <t>Yes</t>
        </is>
      </c>
      <c r="S9" s="11" t="inlineStr">
        <is>
          <t>No</t>
        </is>
      </c>
      <c r="T9" s="11" t="inlineStr">
        <is>
          <t>Yes</t>
        </is>
      </c>
      <c r="U9" s="11" t="inlineStr">
        <is>
          <t>Yes</t>
        </is>
      </c>
      <c r="V9" s="11" t="inlineStr">
        <is>
          <t>Yes</t>
        </is>
      </c>
    </row>
    <row r="10" ht="156.5" customHeight="1">
      <c r="A10" s="7" t="inlineStr">
        <is>
          <t>TC-FADH-02</t>
        </is>
      </c>
      <c r="B10" s="7" t="inlineStr">
        <is>
          <t>Chặn người thân chưa liên kết</t>
        </is>
      </c>
      <c r="C10" s="8" t="inlineStr">
        <is>
          <t>Supabase local; patient P tồn tại, có health_data và liều; family F là user khác, không có caregiver_link tới P. Không dựng liên kết active trong ca này.</t>
        </is>
      </c>
      <c r="D10" s="8" t="inlineStr">
        <is>
          <t>1. Dựng P và liều bằng history_data; tạo F bằng make.user(), không gọi family_of/link.
2. GET /adherence?patient_id=P bằng bearer mobile của F.
3. Kiểm 403 {detail: khong_co_quyen}, Cache-Control: no-store; không có lịch sử trong body.
4. Đọc access_logs của P: actor F, result denied; so dose_logs trước/sau không đổi.</t>
        </is>
      </c>
      <c r="E10" s="8" t="inlineStr">
        <is>
          <t>case=unlinked; patient_id=P</t>
        </is>
      </c>
      <c r="F10" s="8" t="inlineStr">
        <is>
          <t>403 {detail: khong_co_quyen}; Cache-Control: no-store; có denied và dose_logs không đổi.</t>
        </is>
      </c>
      <c r="G10"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0" s="7" t="inlineStr">
        <is>
          <t>Pass</t>
        </is>
      </c>
      <c r="I10" s="8" t="inlineStr">
        <is>
          <t>PB21 · AC4 · Decision Table (R2) · EP (4) · test_unlinked_missing_consents_sharing_off_admin_denied_and_audited__AC11[unlinked] · evidence/test-contract-history-final.log/xml · Retest evidence/test-p7-integration.log/xml</t>
        </is>
      </c>
      <c r="K10" s="9" t="inlineStr">
        <is>
          <t>Mẫu số tỷ lệ</t>
        </is>
      </c>
      <c r="L10" s="10" t="inlineStr">
        <is>
          <t>Liều xác nhận hợp lệ hoặc chưa xác nhận đã quá +120
Không có liều đủ điều kiện</t>
        </is>
      </c>
      <c r="M10" s="10" t="inlineStr">
        <is>
          <t>2
3</t>
        </is>
      </c>
      <c r="N10" s="10" t="inlineStr"/>
      <c r="O10" s="10" t="inlineStr"/>
      <c r="Q10" s="10" t="inlineStr">
        <is>
          <t>health_data</t>
        </is>
      </c>
      <c r="R10" s="11" t="inlineStr">
        <is>
          <t>Yes</t>
        </is>
      </c>
      <c r="S10" s="11" t="inlineStr">
        <is>
          <t>Yes</t>
        </is>
      </c>
      <c r="T10" s="11" t="inlineStr">
        <is>
          <t>No</t>
        </is>
      </c>
      <c r="U10" s="11" t="inlineStr">
        <is>
          <t>Yes</t>
        </is>
      </c>
      <c r="V10" s="11" t="inlineStr">
        <is>
          <t>Yes</t>
        </is>
      </c>
    </row>
    <row r="11" ht="156.5" customHeight="1">
      <c r="A11" s="7" t="inlineStr">
        <is>
          <t>TC-FADH-03</t>
        </is>
      </c>
      <c r="B11" s="7" t="inlineStr">
        <is>
          <t>Chặn khi thiếu consent sức khỏe</t>
        </is>
      </c>
      <c r="C11" s="8" t="inlineStr">
        <is>
          <t>DB Supabase local reset sạch; dùng fixture history_data; patient P có health_data; family F liên kết active, sharing=true và family_sharing của P còn hiệu lực. Thu hồi health_data của P</t>
        </is>
      </c>
      <c r="D11" s="8" t="inlineStr">
        <is>
          <t>1. Tạo patient/family và lịch 08:00 qua fixture history_data.
2. Gọi GET /adherence?patient_id=P&amp;from=2026-10-19&amp;to=2026-10-19 bằng app session của F.
3. Đối chiếu response, dose_logs và access_logs bằng assertion của test nêu ở Comments.</t>
        </is>
      </c>
      <c r="E11" s="8" t="inlineStr">
        <is>
          <t>case=health_consent; patient_id=P</t>
        </is>
      </c>
      <c r="F11" s="8" t="inlineStr">
        <is>
          <t>403 {detail: khong_co_quyen}; Cache-Control: no-store; có denied và dose_logs không đổi.</t>
        </is>
      </c>
      <c r="G11"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1" s="7" t="inlineStr">
        <is>
          <t>Pass</t>
        </is>
      </c>
      <c r="I11" s="8" t="inlineStr">
        <is>
          <t>PB21 · AC4 · Decision Table (R3) · EP (5) · test_unlinked_missing_consents_sharing_off_admin_denied_and_audited__AC11[health_consent] · evidence/test-contract-history-final.log/xml · Retest evidence/test-p7-integration.log/xml</t>
        </is>
      </c>
      <c r="Q11" s="10" t="inlineStr">
        <is>
          <t>family_sharing</t>
        </is>
      </c>
      <c r="R11" s="11" t="inlineStr">
        <is>
          <t>Yes</t>
        </is>
      </c>
      <c r="S11" s="11" t="inlineStr">
        <is>
          <t>Yes</t>
        </is>
      </c>
      <c r="T11" s="11" t="inlineStr">
        <is>
          <t>Yes</t>
        </is>
      </c>
      <c r="U11" s="11" t="inlineStr">
        <is>
          <t>No</t>
        </is>
      </c>
      <c r="V11" s="11" t="inlineStr">
        <is>
          <t>Yes</t>
        </is>
      </c>
    </row>
    <row r="12" ht="156.5" customHeight="1">
      <c r="A12" s="7" t="inlineStr">
        <is>
          <t>TC-FADH-04</t>
        </is>
      </c>
      <c r="B12" s="7" t="inlineStr">
        <is>
          <t>Chặn khi thiếu consent chia sẻ</t>
        </is>
      </c>
      <c r="C12" s="8" t="inlineStr">
        <is>
          <t>DB Supabase local reset sạch; dùng fixture history_data; patient P có health_data; family F liên kết active, sharing=true và family_sharing của P còn hiệu lực. Thu hồi family_sharing của P</t>
        </is>
      </c>
      <c r="D12" s="8" t="inlineStr">
        <is>
          <t>1. Tạo patient/family và lịch 08:00 qua fixture history_data.
2. Gọi GET /adherence?patient_id=P&amp;from=2026-10-19&amp;to=2026-10-19 bằng app session của F.
3. Đối chiếu response, dose_logs và access_logs bằng assertion của test nêu ở Comments.</t>
        </is>
      </c>
      <c r="E12" s="8" t="inlineStr">
        <is>
          <t>case=family_consent; patient_id=P</t>
        </is>
      </c>
      <c r="F12" s="8" t="inlineStr">
        <is>
          <t>403 {detail: khong_co_quyen}; Cache-Control: no-store; có denied và dose_logs không đổi.</t>
        </is>
      </c>
      <c r="G12"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2" s="7" t="inlineStr">
        <is>
          <t>Pass</t>
        </is>
      </c>
      <c r="I12" s="8" t="inlineStr">
        <is>
          <t>PB21 · AC4 · Decision Table (R4) · EP (6) · test_unlinked_missing_consents_sharing_off_admin_denied_and_audited__AC11[family_consent] · evidence/test-contract-history-final.log/xml · Retest evidence/test-p7-integration.log/xml</t>
        </is>
      </c>
      <c r="Q12" s="10" t="inlineStr">
        <is>
          <t>sharing_enabled</t>
        </is>
      </c>
      <c r="R12" s="11" t="inlineStr">
        <is>
          <t>Yes</t>
        </is>
      </c>
      <c r="S12" s="11" t="inlineStr">
        <is>
          <t>Yes</t>
        </is>
      </c>
      <c r="T12" s="11" t="inlineStr">
        <is>
          <t>Yes</t>
        </is>
      </c>
      <c r="U12" s="11" t="inlineStr">
        <is>
          <t>Yes</t>
        </is>
      </c>
      <c r="V12" s="11" t="inlineStr">
        <is>
          <t>No</t>
        </is>
      </c>
    </row>
    <row r="13" ht="156.5" customHeight="1">
      <c r="A13" s="7" t="inlineStr">
        <is>
          <t>TC-FADH-05</t>
        </is>
      </c>
      <c r="B13" s="7" t="inlineStr">
        <is>
          <t>Chặn khi bệnh nhân tắt chia sẻ</t>
        </is>
      </c>
      <c r="C13" s="8" t="inlineStr">
        <is>
          <t>DB Supabase local reset sạch; dùng fixture history_data; patient P có health_data; family F liên kết active, sharing=true và family_sharing của P còn hiệu lực. Đặt sharing_enabled=false</t>
        </is>
      </c>
      <c r="D13" s="8" t="inlineStr">
        <is>
          <t>1. Tạo patient/family và lịch 08:00 qua fixture history_data.
2. Gọi GET /adherence?patient_id=P&amp;from=2026-10-19&amp;to=2026-10-19 bằng app session của F.
3. Đối chiếu response, dose_logs và access_logs bằng assertion của test nêu ở Comments.</t>
        </is>
      </c>
      <c r="E13" s="8" t="inlineStr">
        <is>
          <t>case=sharing_off; patient_id=P</t>
        </is>
      </c>
      <c r="F13" s="8" t="inlineStr">
        <is>
          <t>403 {detail: khong_co_quyen}; Cache-Control: no-store; có denied và dose_logs không đổi.</t>
        </is>
      </c>
      <c r="G13"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3" s="7" t="inlineStr">
        <is>
          <t>Pass</t>
        </is>
      </c>
      <c r="I13" s="8" t="inlineStr">
        <is>
          <t>PB21 · AC4 · Decision Table (R5) · EP (7) · test_unlinked_missing_consents_sharing_off_admin_denied_and_audited__AC11[sharing_off] · evidence/test-contract-history-final.log/xml · Retest evidence/test-p7-integration.log/xml</t>
        </is>
      </c>
      <c r="Q13" s="6" t="inlineStr">
        <is>
          <t>Action</t>
        </is>
      </c>
      <c r="R13" s="5" t="inlineStr">
        <is>
          <t>R1</t>
        </is>
      </c>
      <c r="S13" s="5" t="inlineStr">
        <is>
          <t>R2</t>
        </is>
      </c>
      <c r="T13" s="5" t="inlineStr">
        <is>
          <t>R3</t>
        </is>
      </c>
      <c r="U13" s="5" t="inlineStr">
        <is>
          <t>R4</t>
        </is>
      </c>
      <c r="V13" s="5" t="inlineStr">
        <is>
          <t>R5</t>
        </is>
      </c>
    </row>
    <row r="14" ht="189.5" customHeight="1">
      <c r="A14" s="7" t="inlineStr">
        <is>
          <t>TC-FADH-06</t>
        </is>
      </c>
      <c r="B14" s="7" t="inlineStr">
        <is>
          <t>Chặn sửa patient_id sang bệnh nhân khác</t>
        </is>
      </c>
      <c r="C14" s="8" t="inlineStr">
        <is>
          <t>DB Supabase local reset sạch; dùng fixture history_data; patient P có health_data; family F liên kết active, sharing=true và family_sharing của P còn hiệu lực. Thêm patient Q không liên kết với F.</t>
        </is>
      </c>
      <c r="D14" s="8" t="inlineStr">
        <is>
          <t>1. Dựng P có liều; family F liên kết active, sharing bật và hai consent của P còn hiệu lực; tạo patient Q không liên kết với F.
2. GET /adherence?patient_id=P bằng token F, kiểm 200 và allowed của P theo contract chuẩn.
3. Giữ nguyên token F, sửa query thành patient_id=Q rồi GET /adherence.
4. Kiểm request Q trả 403 {detail: khong_co_quyen}, không có dữ liệu P/Q; access_logs Q có denied actor F; P chỉ có allowed từ request đầu.</t>
        </is>
      </c>
      <c r="E14" s="8" t="inlineStr">
        <is>
          <t>patient_id=Q</t>
        </is>
      </c>
      <c r="F14" s="8" t="inlineStr">
        <is>
          <t>403; denied cho Q; không trả dữ liệu Q; request P trước đó có allowed.</t>
        </is>
      </c>
      <c r="G14"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4" s="7" t="inlineStr">
        <is>
          <t>Pass</t>
        </is>
      </c>
      <c r="I14" s="8" t="inlineStr">
        <is>
          <t>PB21 · AC4 · EP (4) · kiểm truy cập chéo · test_family_patient_selector_tamper · evidence/test-contract-history-final.log/xml · Retest evidence/test-p7-integration.log/xml</t>
        </is>
      </c>
      <c r="Q14" s="10" t="inlineStr">
        <is>
          <t>200 + allowed</t>
        </is>
      </c>
      <c r="R14" s="11" t="inlineStr">
        <is>
          <t>X</t>
        </is>
      </c>
      <c r="S14" s="11" t="inlineStr"/>
      <c r="T14" s="11" t="inlineStr"/>
      <c r="U14" s="11" t="inlineStr"/>
      <c r="V14" s="11" t="inlineStr"/>
    </row>
    <row r="15" ht="156.5" customHeight="1">
      <c r="A15" s="7" t="inlineStr">
        <is>
          <t>TC-FADH-07</t>
        </is>
      </c>
      <c r="B15" s="7" t="inlineStr">
        <is>
          <t>Mất quyền ngay sau thay đổi health_consent</t>
        </is>
      </c>
      <c r="C15" s="8" t="inlineStr">
        <is>
          <t>DB Supabase local reset sạch; dùng fixture history_data; patient P có health_data; family F liên kết active, sharing=true và family_sharing của P còn hiệu lực.</t>
        </is>
      </c>
      <c r="D15" s="8" t="inlineStr">
        <is>
          <t>1. Tạo patient/family và lịch 08:00 qua fixture history_data.
2. Gọi GET /adherence?patient_id=P&amp;from=2026-10-19&amp;to=2026-10-19 bằng app session của F.
3. Giữ nguyên token; thực hiện health_consent.
4. Gửi GET /adherence ngay bằng cùng token và kiểm denied.</t>
        </is>
      </c>
      <c r="E15" s="8" t="inlineStr">
        <is>
          <t>change=health_consent; cùng bearer session</t>
        </is>
      </c>
      <c r="F15" s="8" t="inlineStr">
        <is>
          <t>Request đầu 200, request kế tiếp 403 {detail: khong_co_quyen}; audit lần lượt allowed, denied.</t>
        </is>
      </c>
      <c r="G15"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5" s="7" t="inlineStr">
        <is>
          <t>Pass</t>
        </is>
      </c>
      <c r="I15" s="8" t="inlineStr">
        <is>
          <t>PB21 · AC5 · Chuyển trạng thái (allowed → denied) · test_revoke_sharing_off_unlink_denies_immediate_next_request_same_token__AC12[health_consent] · evidence/test-contract-history-final.log/xml · Retest evidence/test-p7-integration.log/xml</t>
        </is>
      </c>
      <c r="Q15" s="10" t="inlineStr">
        <is>
          <t>403 + denied</t>
        </is>
      </c>
      <c r="R15" s="11" t="inlineStr"/>
      <c r="S15" s="11" t="inlineStr">
        <is>
          <t>X</t>
        </is>
      </c>
      <c r="T15" s="11" t="inlineStr">
        <is>
          <t>X</t>
        </is>
      </c>
      <c r="U15" s="11" t="inlineStr">
        <is>
          <t>X</t>
        </is>
      </c>
      <c r="V15" s="11" t="inlineStr">
        <is>
          <t>X</t>
        </is>
      </c>
    </row>
    <row r="16" ht="156.5" customHeight="1">
      <c r="A16" s="7" t="inlineStr">
        <is>
          <t>TC-FADH-08</t>
        </is>
      </c>
      <c r="B16" s="7" t="inlineStr">
        <is>
          <t>Mất quyền ngay sau thay đổi family_consent</t>
        </is>
      </c>
      <c r="C16" s="8" t="inlineStr">
        <is>
          <t>DB Supabase local reset sạch; dùng fixture history_data; patient P có health_data; family F liên kết active, sharing=true và family_sharing của P còn hiệu lực.</t>
        </is>
      </c>
      <c r="D16" s="8" t="inlineStr">
        <is>
          <t>1. Tạo patient/family và lịch 08:00 qua fixture history_data.
2. Gọi GET /adherence?patient_id=P&amp;from=2026-10-19&amp;to=2026-10-19 bằng app session của F.
3. Giữ nguyên token; thực hiện family_consent.
4. Gửi GET /adherence ngay bằng cùng token và kiểm denied.</t>
        </is>
      </c>
      <c r="E16" s="8" t="inlineStr">
        <is>
          <t>change=family_consent; cùng bearer session</t>
        </is>
      </c>
      <c r="F16" s="8" t="inlineStr">
        <is>
          <t>Request đầu 200, request kế tiếp 403 {detail: khong_co_quyen}; audit lần lượt allowed, denied.</t>
        </is>
      </c>
      <c r="G16"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6" s="7" t="inlineStr">
        <is>
          <t>Pass</t>
        </is>
      </c>
      <c r="I16" s="8" t="inlineStr">
        <is>
          <t>PB21 · AC5 · Chuyển trạng thái (allowed → denied) · test_revoke_sharing_off_unlink_denies_immediate_next_request_same_token__AC12[family_consent] · evidence/test-contract-history-final.log/xml · Retest evidence/test-p7-integration.log/xml</t>
        </is>
      </c>
    </row>
    <row r="17" ht="156.5" customHeight="1">
      <c r="A17" s="7" t="inlineStr">
        <is>
          <t>TC-FADH-09</t>
        </is>
      </c>
      <c r="B17" s="7" t="inlineStr">
        <is>
          <t>Mất quyền ngay sau thay đổi sharing_off</t>
        </is>
      </c>
      <c r="C17" s="8" t="inlineStr">
        <is>
          <t>DB Supabase local reset sạch; dùng fixture history_data; patient P có health_data; family F liên kết active, sharing=true và family_sharing của P còn hiệu lực.</t>
        </is>
      </c>
      <c r="D17" s="8" t="inlineStr">
        <is>
          <t>1. Tạo patient/family và lịch 08:00 qua fixture history_data.
2. Gọi GET /adherence?patient_id=P&amp;from=2026-10-19&amp;to=2026-10-19 bằng app session của F.
3. Giữ nguyên token; thực hiện sharing_off.
4. Gửi GET /adherence ngay bằng cùng token và kiểm denied.</t>
        </is>
      </c>
      <c r="E17" s="8" t="inlineStr">
        <is>
          <t>change=sharing_off; cùng bearer session</t>
        </is>
      </c>
      <c r="F17" s="8" t="inlineStr">
        <is>
          <t>Request đầu 200, request kế tiếp 403 {detail: khong_co_quyen}; audit lần lượt allowed, denied.</t>
        </is>
      </c>
      <c r="G17"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7" s="7" t="inlineStr">
        <is>
          <t>Pass</t>
        </is>
      </c>
      <c r="I17" s="8" t="inlineStr">
        <is>
          <t>PB21 · AC5 · Chuyển trạng thái (allowed → denied) · test_revoke_sharing_off_unlink_denies_immediate_next_request_same_token__AC12[sharing_off] · evidence/test-contract-history-final.log/xml · Retest evidence/test-p7-integration.log/xml</t>
        </is>
      </c>
    </row>
    <row r="18" ht="156.5" customHeight="1">
      <c r="A18" s="7" t="inlineStr">
        <is>
          <t>TC-FADH-10</t>
        </is>
      </c>
      <c r="B18" s="7" t="inlineStr">
        <is>
          <t>Mất quyền ngay sau thay đổi unlink</t>
        </is>
      </c>
      <c r="C18" s="8" t="inlineStr">
        <is>
          <t>DB Supabase local reset sạch; dùng fixture history_data; patient P có health_data; family F liên kết active, sharing=true và family_sharing của P còn hiệu lực.</t>
        </is>
      </c>
      <c r="D18" s="8" t="inlineStr">
        <is>
          <t>1. Tạo patient/family và lịch 08:00 qua fixture history_data.
2. Gọi GET /adherence?patient_id=P&amp;from=2026-10-19&amp;to=2026-10-19 bằng app session của F.
3. Giữ nguyên token; thực hiện unlink.
4. Gửi GET /adherence ngay bằng cùng token và kiểm denied.</t>
        </is>
      </c>
      <c r="E18" s="8" t="inlineStr">
        <is>
          <t>change=unlink; cùng bearer session</t>
        </is>
      </c>
      <c r="F18" s="8" t="inlineStr">
        <is>
          <t>Request đầu 200, request kế tiếp 403 {detail: khong_co_quyen}; audit lần lượt allowed, denied.</t>
        </is>
      </c>
      <c r="G18"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8" s="7" t="inlineStr">
        <is>
          <t>Pass</t>
        </is>
      </c>
      <c r="I18" s="8" t="inlineStr">
        <is>
          <t>PB21 · AC5 · Chuyển trạng thái (allowed → denied) · test_revoke_sharing_off_unlink_denies_immediate_next_request_same_token__AC12[unlink] · evidence/test-contract-history-final.log/xml · Retest evidence/test-p7-integration.log/xml</t>
        </is>
      </c>
    </row>
    <row r="19" ht="156.5" customHeight="1">
      <c r="A19" s="7" t="inlineStr">
        <is>
          <t>TC-FADH-11</t>
        </is>
      </c>
      <c r="B19" s="7" t="inlineStr">
        <is>
          <t>Chặn lịch sử khi lỗi allowed_insert</t>
        </is>
      </c>
      <c r="C19" s="8" t="inlineStr">
        <is>
          <t>DB Supabase local reset sạch; dùng fixture history_data; patient P có health_data; family F liên kết active, sharing=true và family_sharing của P còn hiệu lực.</t>
        </is>
      </c>
      <c r="D19" s="8" t="inlineStr">
        <is>
          <t>1. Tạo patient/family và lịch 08:00 qua fixture history_data.
2. Gắn fault injection allowed_insert theo test access.
3. GET /adherence, kiểm status/body, log, SQL history read và snapshot DB.</t>
        </is>
      </c>
      <c r="E19" s="8" t="inlineStr">
        <is>
          <t>failure=allowed_insert</t>
        </is>
      </c>
      <c r="F19" s="8" t="inlineStr">
        <is>
          <t>500 {detail: Internal server error}; no-store; không trả dữ liệu sức khỏe; không thay dose_logs; lỗi quyền/audit trước đọc thì không SELECT lịch sử.</t>
        </is>
      </c>
      <c r="G19"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19" s="7" t="inlineStr">
        <is>
          <t>Pass</t>
        </is>
      </c>
      <c r="I19" s="8" t="inlineStr">
        <is>
          <t>PB21 · AC7 · Đoán lỗi (fail-closed) · test_audit_permission_and_commit_failure_fail_closed_without_health__AC13[allowed_insert] · evidence/test-contract-history-final.log/xml · Retest evidence/test-p7-integration.log/xml</t>
        </is>
      </c>
    </row>
    <row r="20" ht="156.5" customHeight="1">
      <c r="A20" s="7" t="inlineStr">
        <is>
          <t>TC-FADH-12</t>
        </is>
      </c>
      <c r="B20" s="7" t="inlineStr">
        <is>
          <t>Chặn lịch sử khi lỗi commit</t>
        </is>
      </c>
      <c r="C20" s="8" t="inlineStr">
        <is>
          <t>DB Supabase local reset sạch; dùng fixture history_data; patient P có health_data; family F liên kết active, sharing=true và family_sharing của P còn hiệu lực.</t>
        </is>
      </c>
      <c r="D20" s="8" t="inlineStr">
        <is>
          <t>1. Tạo patient/family và lịch 08:00 qua fixture history_data.
2. Gắn fault injection commit theo test access.
3. GET /adherence, kiểm status/body, log, SQL history read và snapshot DB.</t>
        </is>
      </c>
      <c r="E20" s="8" t="inlineStr">
        <is>
          <t>failure=commit</t>
        </is>
      </c>
      <c r="F20" s="8" t="inlineStr">
        <is>
          <t>500 {detail: Internal server error}; no-store; không trả dữ liệu sức khỏe; không thay dose_logs; lỗi quyền/audit trước đọc thì không SELECT lịch sử.</t>
        </is>
      </c>
      <c r="G20"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0" s="7" t="inlineStr">
        <is>
          <t>Pass</t>
        </is>
      </c>
      <c r="I20" s="8" t="inlineStr">
        <is>
          <t>PB21 · AC7 · Đoán lỗi (fail-closed) · test_audit_permission_and_commit_failure_fail_closed_without_health__AC13[commit] · evidence/test-contract-history-final.log/xml · Retest evidence/test-p7-integration.log/xml</t>
        </is>
      </c>
    </row>
    <row r="21" ht="156.5" customHeight="1">
      <c r="A21" s="7" t="inlineStr">
        <is>
          <t>TC-FADH-13</t>
        </is>
      </c>
      <c r="B21" s="7" t="inlineStr">
        <is>
          <t>Chặn lịch sử khi lỗi denied_insert</t>
        </is>
      </c>
      <c r="C21" s="8" t="inlineStr">
        <is>
          <t>DB Supabase local reset sạch; dùng fixture history_data; patient P có health_data; family F liên kết active, sharing=true và family_sharing của P còn hiệu lực.</t>
        </is>
      </c>
      <c r="D21" s="8" t="inlineStr">
        <is>
          <t>1. Tạo patient/family và lịch 08:00 qua fixture history_data.
2. Gắn fault injection denied_insert theo test access.
3. GET /adherence, kiểm status/body, log, SQL history read và snapshot DB.</t>
        </is>
      </c>
      <c r="E21" s="8" t="inlineStr">
        <is>
          <t>failure=denied_insert</t>
        </is>
      </c>
      <c r="F21" s="8" t="inlineStr">
        <is>
          <t>500 {detail: Internal server error}; no-store; không trả dữ liệu sức khỏe; không thay dose_logs; lỗi quyền/audit trước đọc thì không SELECT lịch sử.</t>
        </is>
      </c>
      <c r="G21"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1" s="7" t="inlineStr">
        <is>
          <t>Pass</t>
        </is>
      </c>
      <c r="I21" s="8" t="inlineStr">
        <is>
          <t>PB21 · AC7 · Đoán lỗi (fail-closed) · test_audit_permission_and_commit_failure_fail_closed_without_health__AC13[denied_insert] · evidence/test-contract-history-final.log/xml · Retest evidence/test-p7-integration.log/xml</t>
        </is>
      </c>
    </row>
    <row r="22" ht="156.5" customHeight="1">
      <c r="A22" s="7" t="inlineStr">
        <is>
          <t>TC-FADH-14</t>
        </is>
      </c>
      <c r="B22" s="7" t="inlineStr">
        <is>
          <t>Chặn lịch sử khi lỗi permission_read</t>
        </is>
      </c>
      <c r="C22" s="8" t="inlineStr">
        <is>
          <t>DB Supabase local reset sạch; dùng fixture history_data; patient P có health_data; family F liên kết active, sharing=true và family_sharing của P còn hiệu lực.</t>
        </is>
      </c>
      <c r="D22" s="8" t="inlineStr">
        <is>
          <t>1. Tạo patient/family và lịch 08:00 qua fixture history_data.
2. Gắn fault injection permission_read theo test access.
3. GET /adherence, kiểm status/body, log, SQL history read và snapshot DB.</t>
        </is>
      </c>
      <c r="E22" s="8" t="inlineStr">
        <is>
          <t>failure=permission_read</t>
        </is>
      </c>
      <c r="F22" s="8" t="inlineStr">
        <is>
          <t>500 {detail: Internal server error}; no-store; không trả dữ liệu sức khỏe; không thay dose_logs; lỗi quyền/audit trước đọc thì không SELECT lịch sử.</t>
        </is>
      </c>
      <c r="G22"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2" s="7" t="inlineStr">
        <is>
          <t>Pass</t>
        </is>
      </c>
      <c r="I22" s="8" t="inlineStr">
        <is>
          <t>PB21 · AC7 · Đoán lỗi (fail-closed) · test_audit_permission_and_commit_failure_fail_closed_without_health__AC13[permission_read] · evidence/test-contract-history-final.log/xml · Retest evidence/test-p7-integration.log/xml</t>
        </is>
      </c>
    </row>
    <row r="23" ht="156.5" customHeight="1">
      <c r="A23" s="7" t="inlineStr">
        <is>
          <t>TC-FADH-15</t>
        </is>
      </c>
      <c r="B23" s="7" t="inlineStr">
        <is>
          <t>Giữ denied audit sau rollback nghiệp vụ</t>
        </is>
      </c>
      <c r="C23" s="8" t="inlineStr">
        <is>
          <t>DB Supabase local reset sạch; dùng fixture history_data; patient P có health_data; family F liên kết active, sharing=true và family_sharing của P còn hiệu lực. Thu hồi health_data.</t>
        </is>
      </c>
      <c r="D23" s="8" t="inlineStr">
        <is>
          <t>1. Gắn context theo dõi rollback như test.
2. GET /adherence bằng patient P.
3. Sau rollback đọc access_logs bằng kết nối DB riêng.</t>
        </is>
      </c>
      <c r="E23" s="8" t="inlineStr">
        <is>
          <t>health_data=thu_hoi</t>
        </is>
      </c>
      <c r="F23" s="8" t="inlineStr">
        <is>
          <t>403; outer transaction đã rollback; denied consent_revoked còn bền.</t>
        </is>
      </c>
      <c r="G23"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3" s="7" t="inlineStr">
        <is>
          <t>Pass</t>
        </is>
      </c>
      <c r="I23" s="8" t="inlineStr">
        <is>
          <t>PB21 · AC7 · Đoán lỗi (rollback) · test_denied_audit_survives_outer_transaction_rollback · evidence/test-contract-history-final.log/xml · Retest evidence/test-p7-integration.log/xml</t>
        </is>
      </c>
    </row>
    <row r="24" ht="156.5" customHeight="1">
      <c r="A24" s="7" t="inlineStr">
        <is>
          <t>TC-FADH-16</t>
        </is>
      </c>
      <c r="B24" s="7" t="inlineStr">
        <is>
          <t>Từ chối phiên missing</t>
        </is>
      </c>
      <c r="C24" s="8" t="inlineStr">
        <is>
          <t>DB Supabase local reset sạch; dùng fixture history_data; patient P có health_data; family F liên kết active, sharing=true và family_sharing của P còn hiệu lực.</t>
        </is>
      </c>
      <c r="D24" s="8" t="inlineStr">
        <is>
          <t>1. Chuẩn bị auth theo kind của test (không in token).
2. GET /adherence.
3. Kiểm 401, no-store, body chỉ có detail và không ghi allowed.</t>
        </is>
      </c>
      <c r="E24" s="8" t="inlineStr">
        <is>
          <t>kind=missing</t>
        </is>
      </c>
      <c r="F24" s="8" t="inlineStr">
        <is>
          <t>401; no-store; không trả dữ liệu sức khỏe; không có access_logs.</t>
        </is>
      </c>
      <c r="G24"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4" s="7" t="inlineStr">
        <is>
          <t>Pass</t>
        </is>
      </c>
      <c r="I24" s="8" t="inlineStr">
        <is>
          <t>PB21 · AC4 · Đoán lỗi (xác thực) · test_authentication_401_and_no_store_without_health_payload__AC14[missing] · evidence/test-contract-history-final.log/xml · Retest evidence/test-p7-integration.log/xml</t>
        </is>
      </c>
    </row>
    <row r="25" ht="156.5" customHeight="1">
      <c r="A25" s="7" t="inlineStr">
        <is>
          <t>TC-FADH-17</t>
        </is>
      </c>
      <c r="B25" s="7" t="inlineStr">
        <is>
          <t>Từ chối phiên invalid</t>
        </is>
      </c>
      <c r="C25" s="8" t="inlineStr">
        <is>
          <t>DB Supabase local reset sạch; dùng fixture history_data; patient P có health_data; family F liên kết active, sharing=true và family_sharing của P còn hiệu lực.</t>
        </is>
      </c>
      <c r="D25" s="8" t="inlineStr">
        <is>
          <t>1. Chuẩn bị auth theo kind của test (không in token).
2. GET /adherence.
3. Kiểm 401, no-store, body chỉ có detail và không ghi allowed.</t>
        </is>
      </c>
      <c r="E25" s="8" t="inlineStr">
        <is>
          <t>kind=invalid</t>
        </is>
      </c>
      <c r="F25" s="8" t="inlineStr">
        <is>
          <t>401; no-store; không trả dữ liệu sức khỏe; không có access_logs.</t>
        </is>
      </c>
      <c r="G25"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5" s="7" t="inlineStr">
        <is>
          <t>Pass</t>
        </is>
      </c>
      <c r="I25" s="8" t="inlineStr">
        <is>
          <t>PB21 · AC4 · Đoán lỗi (xác thực) · test_authentication_401_and_no_store_without_health_payload__AC14[invalid] · evidence/test-contract-history-final.log/xml · Retest evidence/test-p7-integration.log/xml</t>
        </is>
      </c>
    </row>
    <row r="26" ht="156.5" customHeight="1">
      <c r="A26" s="7" t="inlineStr">
        <is>
          <t>TC-FADH-18</t>
        </is>
      </c>
      <c r="B26" s="7" t="inlineStr">
        <is>
          <t>Từ chối phiên expired</t>
        </is>
      </c>
      <c r="C26" s="8" t="inlineStr">
        <is>
          <t>DB Supabase local reset sạch; dùng fixture history_data; patient P có health_data; family F liên kết active, sharing=true và family_sharing của P còn hiệu lực.</t>
        </is>
      </c>
      <c r="D26" s="8" t="inlineStr">
        <is>
          <t>1. Chuẩn bị auth theo kind của test (không in token).
2. GET /adherence.
3. Kiểm 401, no-store, body chỉ có detail và không ghi allowed.</t>
        </is>
      </c>
      <c r="E26" s="8" t="inlineStr">
        <is>
          <t>kind=expired</t>
        </is>
      </c>
      <c r="F26" s="8" t="inlineStr">
        <is>
          <t>401; no-store; không trả dữ liệu sức khỏe; không có access_logs.</t>
        </is>
      </c>
      <c r="G26"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6" s="7" t="inlineStr">
        <is>
          <t>Pass</t>
        </is>
      </c>
      <c r="I26" s="8" t="inlineStr">
        <is>
          <t>PB21 · AC4 · Đoán lỗi (xác thực) · test_authentication_401_and_no_store_without_health_payload__AC14[expired] · evidence/test-contract-history-final.log/xml · Retest evidence/test-p7-integration.log/xml</t>
        </is>
      </c>
    </row>
    <row r="27" ht="156.5" customHeight="1">
      <c r="A27" s="7" t="inlineStr">
        <is>
          <t>TC-FADH-19</t>
        </is>
      </c>
      <c r="B27" s="7" t="inlineStr">
        <is>
          <t>Từ chối phiên erased</t>
        </is>
      </c>
      <c r="C27" s="8" t="inlineStr">
        <is>
          <t>DB Supabase local reset sạch; dùng fixture history_data; patient P có health_data; family F liên kết active, sharing=true và family_sharing của P còn hiệu lực.</t>
        </is>
      </c>
      <c r="D27" s="8" t="inlineStr">
        <is>
          <t>1. Chuẩn bị auth theo kind của test (không in token).
2. GET /adherence.
3. Kiểm 401, no-store, body chỉ có detail và không ghi allowed.</t>
        </is>
      </c>
      <c r="E27" s="8" t="inlineStr">
        <is>
          <t>kind=erased</t>
        </is>
      </c>
      <c r="F27" s="8" t="inlineStr">
        <is>
          <t>401; no-store; không trả dữ liệu sức khỏe; không có access_logs.</t>
        </is>
      </c>
      <c r="G27"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27" s="7" t="inlineStr">
        <is>
          <t>Pass</t>
        </is>
      </c>
      <c r="I27" s="8" t="inlineStr">
        <is>
          <t>PB21 · AC4 · Đoán lỗi (xác thực) · test_authentication_401_and_no_store_without_health_payload__AC14[erased] · evidence/test-contract-history-final.log/xml · Retest evidence/test-p7-integration.log/xml</t>
        </is>
      </c>
    </row>
    <row r="28" ht="173" customHeight="1">
      <c r="A28" s="7" t="inlineStr">
        <is>
          <t>TC-FADH-20</t>
        </is>
      </c>
      <c r="B28" s="7" t="inlineStr">
        <is>
          <t>Tính ngay xác nhận tại -30 phút</t>
        </is>
      </c>
      <c r="C28" s="8" t="inlineStr">
        <is>
          <t>Unit application: access Mock cho phép, reader trả một HistoryRow; chưa chứng minh PEP/DB.</t>
        </is>
      </c>
      <c r="D28" s="8" t="inlineStr">
        <is>
          <t>1. Chạy test tại backend/tests/unit/test_get_adherence_history.py với delay0, cả group_by=date và medication.
2. Quan sát ở đúng taken_at; kiểm summary, nhóm và một dose.</t>
        </is>
      </c>
      <c r="E28" s="8" t="inlineStr">
        <is>
          <t>scheduled_at=08:00 +07; delay=-30 phút; status=da_uong</t>
        </is>
      </c>
      <c r="F28" s="8" t="inlineStr">
        <is>
          <t>total=1, counted=1, rate=100.00; taken/late đúng trạng thái; đúng một liều ngay khi xác nhận.</t>
        </is>
      </c>
      <c r="G28" s="8" t="inlineStr">
        <is>
          <t>Hai ca unit và hai ca family API/DB (date/medication) Fail: xác nhận -30 được nhận, dose_log tồn tại và audit allowed nhưng lịch sử total/taken/counted=0, rate=null thay vì 1/100. Lượt P7 chạy lại toàn backend integration: nhóm history API/PEP 66 Pass/2 Fail, TC20 vẫn Fail ở hai grouping; các ca khác trong nhóm này giữ kết quả. evidence/test-p7-integration.log/xml.</t>
        </is>
      </c>
      <c r="H28" s="7" t="inlineStr">
        <is>
          <t>Fail</t>
        </is>
      </c>
      <c r="I28" s="8" t="inlineStr">
        <is>
          <t>PB21 · AC2,AC3 · BVA (-30 phút) · EP (2) · test_confirmed_before_deadline_counts_immediately__AC3[delay0- · evidence/test-contract-unit.log/xml · test_family_early_confirmation_counts_immediately__AC3 · evidence/test-contract-history-final.log/xml · Retest evidence/test-p7-integration.log/xml</t>
        </is>
      </c>
    </row>
    <row r="29" ht="90.5" customHeight="1">
      <c r="A29" s="7" t="inlineStr">
        <is>
          <t>TC-FADH-21</t>
        </is>
      </c>
      <c r="B29" s="7" t="inlineStr">
        <is>
          <t>Tính ngay xác nhận tại 0 phút</t>
        </is>
      </c>
      <c r="C29" s="8" t="inlineStr">
        <is>
          <t>Unit application: access Mock cho phép, reader trả một HistoryRow; chưa chứng minh PEP/DB.</t>
        </is>
      </c>
      <c r="D29" s="8" t="inlineStr">
        <is>
          <t>1. Chạy test tại backend/tests/unit/test_get_adherence_history.py với delay1, cả group_by=date và medication.
2. Quan sát ở đúng taken_at; kiểm summary, nhóm và một dose.</t>
        </is>
      </c>
      <c r="E29" s="8" t="inlineStr">
        <is>
          <t>scheduled_at=08:00 +07; delay=0 phút; status=da_uong</t>
        </is>
      </c>
      <c r="F29" s="8" t="inlineStr">
        <is>
          <t>total=1, counted=1, rate=100.00; taken/late đúng trạng thái; đúng một liều ngay khi xác nhận.</t>
        </is>
      </c>
      <c r="G29" s="8" t="inlineStr">
        <is>
          <t>2 ca Pass trong lần chạy sau khôi phục contract, 25/10/2026. Unit; chưa thay bằng chứng API/DB.</t>
        </is>
      </c>
      <c r="H29" s="7" t="inlineStr">
        <is>
          <t>Pass</t>
        </is>
      </c>
      <c r="I29" s="8" t="inlineStr">
        <is>
          <t>PB21 · AC2,AC3 · BVA (0 phút) · EP (2) · test_confirmed_before_deadline_counts_immediately__AC3[delay1- · evidence/test-contract-unit.log/xml</t>
        </is>
      </c>
    </row>
    <row r="30" ht="90.5" customHeight="1">
      <c r="A30" s="7" t="inlineStr">
        <is>
          <t>TC-FADH-22</t>
        </is>
      </c>
      <c r="B30" s="7" t="inlineStr">
        <is>
          <t>Tính ngay xác nhận tại +30 phút</t>
        </is>
      </c>
      <c r="C30" s="8" t="inlineStr">
        <is>
          <t>Unit application: access Mock cho phép, reader trả một HistoryRow; chưa chứng minh PEP/DB.</t>
        </is>
      </c>
      <c r="D30" s="8" t="inlineStr">
        <is>
          <t>1. Chạy test tại backend/tests/unit/test_get_adherence_history.py với delay2, cả group_by=date và medication.
2. Quan sát ở đúng taken_at; kiểm summary, nhóm và một dose.</t>
        </is>
      </c>
      <c r="E30" s="8" t="inlineStr">
        <is>
          <t>scheduled_at=08:00 +07; delay=+30 phút; status=da_uong</t>
        </is>
      </c>
      <c r="F30" s="8" t="inlineStr">
        <is>
          <t>total=1, counted=1, rate=100.00; taken/late đúng trạng thái; đúng một liều ngay khi xác nhận.</t>
        </is>
      </c>
      <c r="G30" s="8" t="inlineStr">
        <is>
          <t>2 ca Pass trong lần chạy sau khôi phục contract, 25/10/2026. Unit; chưa thay bằng chứng API/DB.</t>
        </is>
      </c>
      <c r="H30" s="7" t="inlineStr">
        <is>
          <t>Pass</t>
        </is>
      </c>
      <c r="I30" s="8" t="inlineStr">
        <is>
          <t>PB21 · AC2,AC3 · BVA (+30 phút) · EP (2) · test_confirmed_before_deadline_counts_immediately__AC3[delay2- · evidence/test-contract-unit.log/xml</t>
        </is>
      </c>
    </row>
    <row r="31" ht="90.5" customHeight="1">
      <c r="A31" s="7" t="inlineStr">
        <is>
          <t>TC-FADH-23</t>
        </is>
      </c>
      <c r="B31" s="7" t="inlineStr">
        <is>
          <t>Tính ngay xác nhận tại +30 phút +1µs</t>
        </is>
      </c>
      <c r="C31" s="8" t="inlineStr">
        <is>
          <t>Unit application: access Mock cho phép, reader trả một HistoryRow; chưa chứng minh PEP/DB.</t>
        </is>
      </c>
      <c r="D31" s="8" t="inlineStr">
        <is>
          <t>1. Chạy test tại backend/tests/unit/test_get_adherence_history.py với delay3, cả group_by=date và medication.
2. Quan sát ở đúng taken_at; kiểm summary, nhóm và một dose.</t>
        </is>
      </c>
      <c r="E31" s="8" t="inlineStr">
        <is>
          <t>scheduled_at=08:00 +07; delay=+30 phút +1µs; status=uong_tre</t>
        </is>
      </c>
      <c r="F31" s="8" t="inlineStr">
        <is>
          <t>total=1, counted=1, rate=100.00; taken/late đúng trạng thái; đúng một liều ngay khi xác nhận.</t>
        </is>
      </c>
      <c r="G31" s="8" t="inlineStr">
        <is>
          <t>2 ca Pass trong lần chạy sau khôi phục contract, 25/10/2026. Unit; chưa thay bằng chứng API/DB.</t>
        </is>
      </c>
      <c r="H31" s="7" t="inlineStr">
        <is>
          <t>Pass</t>
        </is>
      </c>
      <c r="I31" s="8" t="inlineStr">
        <is>
          <t>PB21 · AC2,AC3 · BVA (+30 phút +1µs) · EP (2) · test_confirmed_before_deadline_counts_immediately__AC3[delay3- · evidence/test-contract-unit.log/xml</t>
        </is>
      </c>
    </row>
    <row r="32" ht="90.5" customHeight="1">
      <c r="A32" s="7" t="inlineStr">
        <is>
          <t>TC-FADH-24</t>
        </is>
      </c>
      <c r="B32" s="7" t="inlineStr">
        <is>
          <t>Tính ngay xác nhận tại +119 phút 59 giây</t>
        </is>
      </c>
      <c r="C32" s="8" t="inlineStr">
        <is>
          <t>Unit application: access Mock cho phép, reader trả một HistoryRow; chưa chứng minh PEP/DB.</t>
        </is>
      </c>
      <c r="D32" s="8" t="inlineStr">
        <is>
          <t>1. Chạy test tại backend/tests/unit/test_get_adherence_history.py với delay4, cả group_by=date và medication.
2. Quan sát ở đúng taken_at; kiểm summary, nhóm và một dose.</t>
        </is>
      </c>
      <c r="E32" s="8" t="inlineStr">
        <is>
          <t>scheduled_at=08:00 +07; delay=+119 phút 59 giây; status=uong_tre</t>
        </is>
      </c>
      <c r="F32" s="8" t="inlineStr">
        <is>
          <t>total=1, counted=1, rate=100.00; taken/late đúng trạng thái; đúng một liều ngay khi xác nhận.</t>
        </is>
      </c>
      <c r="G32" s="8" t="inlineStr">
        <is>
          <t>2 ca Pass trong lần chạy sau khôi phục contract, 25/10/2026. Unit; chưa thay bằng chứng API/DB.</t>
        </is>
      </c>
      <c r="H32" s="7" t="inlineStr">
        <is>
          <t>Pass</t>
        </is>
      </c>
      <c r="I32" s="8" t="inlineStr">
        <is>
          <t>PB21 · AC2,AC3 · BVA (+119 phút 59 giây) · EP (2) · test_confirmed_before_deadline_counts_immediately__AC3[delay4- · evidence/test-contract-unit.log/xml</t>
        </is>
      </c>
    </row>
    <row r="33" ht="90.5" customHeight="1">
      <c r="A33" s="7" t="inlineStr">
        <is>
          <t>TC-FADH-25</t>
        </is>
      </c>
      <c r="B33" s="7" t="inlineStr">
        <is>
          <t>Tính ngay xác nhận tại +120 phút</t>
        </is>
      </c>
      <c r="C33" s="8" t="inlineStr">
        <is>
          <t>Unit application: access Mock cho phép, reader trả một HistoryRow; chưa chứng minh PEP/DB.</t>
        </is>
      </c>
      <c r="D33" s="8" t="inlineStr">
        <is>
          <t>1. Chạy test tại backend/tests/unit/test_get_adherence_history.py với delay5, cả group_by=date và medication.
2. Quan sát ở đúng taken_at; kiểm summary, nhóm và một dose.</t>
        </is>
      </c>
      <c r="E33" s="8" t="inlineStr">
        <is>
          <t>scheduled_at=08:00 +07; delay=+120 phút; status=uong_tre</t>
        </is>
      </c>
      <c r="F33" s="8" t="inlineStr">
        <is>
          <t>total=1, counted=1, rate=100.00; taken/late đúng trạng thái; đúng một liều ngay khi xác nhận.</t>
        </is>
      </c>
      <c r="G33" s="8" t="inlineStr">
        <is>
          <t>2 ca Pass trong lần chạy sau khôi phục contract, 25/10/2026. Unit; chưa thay bằng chứng API/DB.</t>
        </is>
      </c>
      <c r="H33" s="7" t="inlineStr">
        <is>
          <t>Pass</t>
        </is>
      </c>
      <c r="I33" s="8" t="inlineStr">
        <is>
          <t>PB21 · AC2,AC3 · BVA (+120 phút) · EP (2) · test_confirmed_before_deadline_counts_immediately__AC3[delay5- · evidence/test-contract-unit.log/xml</t>
        </is>
      </c>
    </row>
    <row r="34" ht="107" customHeight="1">
      <c r="A34" s="7" t="inlineStr">
        <is>
          <t>TC-FADH-26</t>
        </is>
      </c>
      <c r="B34" s="7" t="inlineStr">
        <is>
          <t>Chuyển pending tại +120 thành missed ngay sau hạn</t>
        </is>
      </c>
      <c r="C34" s="8" t="inlineStr">
        <is>
          <t>Unit: một liều taken và một liều chưa xác nhận; thử cả status=None và bo_lo cũ.</t>
        </is>
      </c>
      <c r="D34" s="8" t="inlineStr">
        <is>
          <t>1. Chạy backend/tests/unit/test_get_adherence_history.py::test_unconfirmed_pending_at_deadline_then_missed__AC3.
2. So summary tại +120 và +120+1µs, hai kiểu nhóm.</t>
        </is>
      </c>
      <c r="E34" s="8" t="inlineStr">
        <is>
          <t>scheduled=08:00; as_of=10:00 và 10:00:00.000001 +07</t>
        </is>
      </c>
      <c r="F34" s="8" t="inlineStr">
        <is>
          <t>Tại hạn pending=1,counted=1,rate=100; sau hạn missed=1,counted=2,rate=50; không nhân đôi liều.</t>
        </is>
      </c>
      <c r="G34" s="8" t="inlineStr">
        <is>
          <t>4 ca Pass trong lần chạy sau khôi phục contract, 25/10/2026. Unit; chưa thay bằng chứng API/DB.</t>
        </is>
      </c>
      <c r="H34" s="7" t="inlineStr">
        <is>
          <t>Pass</t>
        </is>
      </c>
      <c r="I34" s="8" t="inlineStr">
        <is>
          <t>PB21 · AC2,AC3 · BVA (max,max+1) · Chuyển trạng thái (pending → missed) · test_unconfirmed_pending_at_deadline_then_missed__AC3 · evidence/test-contract-unit.log/xml</t>
        </is>
      </c>
    </row>
    <row r="35" ht="90.5" customHeight="1">
      <c r="A35" s="7" t="inlineStr">
        <is>
          <t>TC-FADH-27</t>
        </is>
      </c>
      <c r="B35" s="7" t="inlineStr">
        <is>
          <t>Trả tỷ lệ null khi không có mẫu số</t>
        </is>
      </c>
      <c r="C35" s="8" t="inlineStr">
        <is>
          <t>Unit: không có liều hoặc chỉ có pending.</t>
        </is>
      </c>
      <c r="D35" s="8" t="inlineStr">
        <is>
          <t>1. Chạy backend/tests/unit/test_get_adherence_history.py::test_no_eligible_dose_has_null_rate__AC3.
2. Kiểm date và medication, có/không có pending.</t>
        </is>
      </c>
      <c r="E35" s="8" t="inlineStr">
        <is>
          <t>as_of=10:00 +07; counted=0</t>
        </is>
      </c>
      <c r="F35" s="8" t="inlineStr">
        <is>
          <t>adherence_rate=None; trường hợp rỗng không có nhóm, pending không vào mẫu số.</t>
        </is>
      </c>
      <c r="G35" s="8" t="inlineStr">
        <is>
          <t>4 ca Pass trong lần chạy sau khôi phục contract, 25/10/2026. Unit; chưa thay bằng chứng API/DB.</t>
        </is>
      </c>
      <c r="H35" s="7" t="inlineStr">
        <is>
          <t>Pass</t>
        </is>
      </c>
      <c r="I35" s="8" t="inlineStr">
        <is>
          <t>PB21 · AC3 · EP (3) · test_no_eligible_dose_has_null_rate__AC3 · evidence/test-contract-unit.log/xml</t>
        </is>
      </c>
    </row>
    <row r="36" ht="107" customHeight="1">
      <c r="A36" s="7" t="inlineStr">
        <is>
          <t>TC-FADH-28</t>
        </is>
      </c>
      <c r="B36" s="7" t="inlineStr">
        <is>
          <t>Không tăng tỷ lệ khi thực uống sau hạn</t>
        </is>
      </c>
      <c r="C36" s="8" t="inlineStr">
        <is>
          <t>Unit: tạo DoseConfirmation tại +120+1µs.</t>
        </is>
      </c>
      <c r="D36" s="8" t="inlineStr">
        <is>
          <t>1. Chạy backend/tests/unit/test_get_adherence_history.py::test_after_deadline_confirmation_does_not_raise_rate__AC3.
2. So lịch sử trước và sau xác nhận, cả hai kiểu nhóm.</t>
        </is>
      </c>
      <c r="E36" s="8" t="inlineStr">
        <is>
          <t>taken_at=10:00:00.000001 +07 cho lịch 08:00</t>
        </is>
      </c>
      <c r="F36" s="8" t="inlineStr">
        <is>
          <t>status=bo_lo; counted=1, rate=0.00 trước và sau.</t>
        </is>
      </c>
      <c r="G36" s="8" t="inlineStr">
        <is>
          <t>2 ca Pass trong lần chạy sau khôi phục contract, 25/10/2026. Unit; chưa thay bằng chứng API/DB.</t>
        </is>
      </c>
      <c r="H36" s="7" t="inlineStr">
        <is>
          <t>Pass</t>
        </is>
      </c>
      <c r="I36" s="8" t="inlineStr">
        <is>
          <t>PB21 · AC3 · BVA (max+1) · Chuyển trạng thái (missed không trở thành tuân thủ) · test_after_deadline_confirmation_does_not_raise_rate__AC3 · evidence/test-contract-unit.log/xml</t>
        </is>
      </c>
    </row>
    <row r="37" ht="123.5" customHeight="1">
      <c r="A37" s="7" t="inlineStr">
        <is>
          <t>TC-FADH-29</t>
        </is>
      </c>
      <c r="B37" s="7" t="inlineStr">
        <is>
          <t>Tính xác nhận hợp lệ được đồng bộ sau hạn</t>
        </is>
      </c>
      <c r="C37" s="8" t="inlineStr">
        <is>
          <t>Unit: thực uống +90 nhưng sync +121 phút.</t>
        </is>
      </c>
      <c r="D37" s="8" t="inlineStr">
        <is>
          <t>1. Chạy backend/tests/unit/test_get_adherence_history.py::test_valid_confirmation_synced_after_deadline_still_counts__AC3.
2. Kiểm status, taken_at và tỷ lệ.</t>
        </is>
      </c>
      <c r="E37" s="8" t="inlineStr">
        <is>
          <t>scheduled=08:00; taken=09:30; synced=10:01 +07</t>
        </is>
      </c>
      <c r="F37" s="8" t="inlineStr">
        <is>
          <t>uong_tre; total=late=counted=1, rate=100.00; taken_at=09:30.</t>
        </is>
      </c>
      <c r="G37" s="8" t="inlineStr">
        <is>
          <t>2 ca Pass trong lần chạy sau khôi phục contract, 25/10/2026. Unit; chưa thay bằng chứng API/DB. Lượt P7 chạy lại toàn backend integration: nhóm history API/PEP 66 Pass/2 Fail, TC20 vẫn Fail ở hai grouping; các ca khác trong nhóm này giữ kết quả. evidence/test-p7-integration.log/xml.</t>
        </is>
      </c>
      <c r="H37" s="7" t="inlineStr">
        <is>
          <t>Pass</t>
        </is>
      </c>
      <c r="I37" s="8" t="inlineStr">
        <is>
          <t>PB21 · AC3 · Chuyển trạng thái (đồng bộ muộn) · test_valid_confirmation_synced_after_deadline_still_counts__AC3 · evidence/test-contract-unit.log/xml · Retest evidence/test-p7-integration.log/xml</t>
        </is>
      </c>
    </row>
    <row r="38" ht="156.5" customHeight="1">
      <c r="A38" s="7" t="inlineStr">
        <is>
          <t>TC-FADH-30</t>
        </is>
      </c>
      <c r="B38" s="7" t="inlineStr">
        <is>
          <t>Phân nhóm và tính tỷ lệ 80% trên DB thật</t>
        </is>
      </c>
      <c r="C38" s="8" t="inlineStr">
        <is>
          <t>DB Supabase local reset sạch; dùng fixture history_data; patient P có health_data; family F liên kết active, sharing=true và family_sharing của P còn hiệu lực.</t>
        </is>
      </c>
      <c r="D38" s="8" t="inlineStr">
        <is>
          <t>1. Tạo patient/family và lịch 08:00 qua fixture history_data.
2. Gọi GET /adherence?patient_id=P&amp;from=2026-10-19&amp;to=2026-10-19 bằng app session của F.
3. Đối chiếu response, dose_logs và access_logs bằng assertion của test nêu ở Comments.</t>
        </is>
      </c>
      <c r="E38" s="8" t="inlineStr">
        <is>
          <t>3 taken,1 late,1 missed; hai thuốc trùng tên khác ID</t>
        </is>
      </c>
      <c r="F38" s="8" t="inlineStr">
        <is>
          <t>Hai kiểu nhóm có tổng 5, counted=5,rate=80; ID thuốc không bị gộp nhầm; no-store, allowed và DB không đổi.</t>
        </is>
      </c>
      <c r="G38"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38" s="7" t="inlineStr">
        <is>
          <t>Pass</t>
        </is>
      </c>
      <c r="I38" s="8" t="inlineStr">
        <is>
          <t>PB21 · AC1,AC2,AC3 · EP (1) · test_patient_history_by_date_medication_groups_and_80_percent · evidence/test-contract-history-final.log/xml · Retest evidence/test-p7-integration.log/xml</t>
        </is>
      </c>
    </row>
    <row r="39" ht="156.5" customHeight="1">
      <c r="A39" s="7" t="inlineStr">
        <is>
          <t>TC-FADH-31</t>
        </is>
      </c>
      <c r="B39" s="7" t="inlineStr">
        <is>
          <t>Giữ đúng ngày Việt Nam qua nửa đêm</t>
        </is>
      </c>
      <c r="C39" s="8" t="inlineStr">
        <is>
          <t>DB Supabase local reset sạch; dùng fixture history_data; patient P có health_data; family F liên kết active, sharing=true và family_sharing của P còn hiệu lực.</t>
        </is>
      </c>
      <c r="D39" s="8" t="inlineStr">
        <is>
          <t>1. Tạo patient/family và lịch 08:00 qua fixture history_data.
2. Gọi GET /adherence?patient_id=P&amp;from=2026-10-19&amp;to=2026-10-19 bằng app session của F.
3. Đối chiếu response, dose_logs và access_logs bằng assertion của test nêu ở Comments.</t>
        </is>
      </c>
      <c r="E39" s="8" t="inlineStr">
        <is>
          <t>Lịch và xác nhận hai phía 00:00 Asia/Ho_Chi_Minh</t>
        </is>
      </c>
      <c r="F39" s="8" t="inlineStr">
        <is>
          <t>Nhóm theo ngày scheduled_at ở Việt Nam, thứ tự ngày đúng, không nhân đôi liều.</t>
        </is>
      </c>
      <c r="G39"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39" s="7" t="inlineStr">
        <is>
          <t>Pass</t>
        </is>
      </c>
      <c r="I39" s="8" t="inlineStr">
        <is>
          <t>PB21 · AC2 · BVA (ngày) · test_scheduled_date_across_midnight · evidence/test-contract-history-final.log/xml · Retest evidence/test-p7-integration.log/xml</t>
        </is>
      </c>
    </row>
    <row r="40" ht="74" customHeight="1">
      <c r="A40" s="7" t="inlineStr">
        <is>
          <t>TC-FADH-32</t>
        </is>
      </c>
      <c r="B40" s="7" t="inlineStr">
        <is>
          <t>Chấp nhận khoảng ngày 90 và chặn 91 ngày</t>
        </is>
      </c>
      <c r="C40" s="8" t="inlineStr">
        <is>
          <t>Unit resolve_range; không có DB.</t>
        </is>
      </c>
      <c r="D40" s="8" t="inlineStr">
        <is>
          <t>1. Chạy tests/unit/test_adherence_history.py::test_inclusive_90_allowed_91_rejected.</t>
        </is>
      </c>
      <c r="E40" s="8" t="inlineStr">
        <is>
          <t>Khoảng bao gồm hai đầu dài 90 và 91 ngày</t>
        </is>
      </c>
      <c r="F40" s="8" t="inlineStr">
        <is>
          <t>90 được chấp nhận; 91 bị từ chối.</t>
        </is>
      </c>
      <c r="G40" s="8" t="inlineStr">
        <is>
          <t>1 ca Pass trong lần chạy sau khôi phục contract, 25/10/2026. Unit; chưa thay bằng chứng API/DB.</t>
        </is>
      </c>
      <c r="H40" s="7" t="inlineStr">
        <is>
          <t>Pass</t>
        </is>
      </c>
      <c r="I40" s="8" t="inlineStr">
        <is>
          <t>PB21 · AC2 · BVA (max,max+1) · test_inclusive_90_allowed_91_rejected · evidence/test-contract-unit.log/xml</t>
        </is>
      </c>
    </row>
    <row r="41" ht="156.5" customHeight="1">
      <c r="A41" s="7" t="inlineStr">
        <is>
          <t>TC-FADH-33</t>
        </is>
      </c>
      <c r="B41" s="7" t="inlineStr">
        <is>
          <t>Không tạo trùng khi sync lại cùng client_uuid</t>
        </is>
      </c>
      <c r="C41" s="8" t="inlineStr">
        <is>
          <t>DB Supabase local reset sạch; dùng fixture history_data; patient P có health_data; family F liên kết active, sharing=true và family_sharing của P còn hiệu lực.</t>
        </is>
      </c>
      <c r="D41" s="8" t="inlineStr">
        <is>
          <t>1. Chạy backend/tests/integration/test_adherence_history_api.py::test_late_sync_worker_log_and_retry_keep_one_occurrence__AC15_AC20.
2. Kiểm một occurrence, client_uuid và status sau Worker + retry.</t>
        </is>
      </c>
      <c r="E41" s="8" t="inlineStr">
        <is>
          <t>taken +90; sync sau +120; cùng client_uuid hai lần</t>
        </is>
      </c>
      <c r="F41" s="8" t="inlineStr">
        <is>
          <t>Một dose_log và một occurrence; giữ xác nhận hợp lệ; lịch sử phản ánh liều trễ.</t>
        </is>
      </c>
      <c r="G41" s="8" t="inlineStr">
        <is>
          <t>1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41" s="7" t="inlineStr">
        <is>
          <t>Pass</t>
        </is>
      </c>
      <c r="I41" s="8" t="inlineStr">
        <is>
          <t>PB21 · AC2,AC3 · Đoán lỗi (idempotency) · test_late_sync_worker_log_and_retry_keep_one_occurrence · evidence/test-contract-history-final.log/xml · Retest evidence/test-p7-integration.log/xml</t>
        </is>
      </c>
    </row>
    <row r="42" ht="156.5" customHeight="1">
      <c r="A42" s="7" t="inlineStr">
        <is>
          <t>TC-FADH-34</t>
        </is>
      </c>
      <c r="B42" s="7" t="inlineStr">
        <is>
          <t>Giữ xác nhận khi Worker chạy đua</t>
        </is>
      </c>
      <c r="C42" s="8" t="inlineStr">
        <is>
          <t>DB Supabase local reset sạch; dùng fixture history_data; patient P có health_data; family F liên kết active, sharing=true và family_sharing của P còn hiệu lực.</t>
        </is>
      </c>
      <c r="D42" s="8" t="inlineStr">
        <is>
          <t>1. Chạy backend/tests/integration/test_adherence_history_api.py::test_worker_insert_races_with_valid_late_confirmation__AC15_AC20_AC22.
2. Thử worker/confirmation ghi trước; kiểm một liều và trạng thái cuối.</t>
        </is>
      </c>
      <c r="E42" s="8" t="inlineStr">
        <is>
          <t>first_writer=worker/confirmation; taken hợp lệ +90</t>
        </is>
      </c>
      <c r="F42" s="8" t="inlineStr">
        <is>
          <t>Một occurrence/dose_log; uong_tre; không ghi đè xác nhận hợp lệ.</t>
        </is>
      </c>
      <c r="G42" s="8" t="inlineStr">
        <is>
          <t>2 ca Pass trong lần chạy sau khôi phục contract, 25/10/2026. FastAPI TestClient + PostgreSQL local thật; đã vượt assertion contract và kiểm hiệu ứng DB/audit của test. Lượt P7 chạy lại toàn backend integration: nhóm history API/PEP 66 Pass/2 Fail, TC20 vẫn Fail ở hai grouping; các ca khác trong nhóm này giữ kết quả. evidence/test-p7-integration.log/xml.</t>
        </is>
      </c>
      <c r="H42" s="7" t="inlineStr">
        <is>
          <t>Pass</t>
        </is>
      </c>
      <c r="I42" s="8" t="inlineStr">
        <is>
          <t>PB21 · AC2,AC3 · Đoán lỗi (race) · test_worker_insert_races_with_valid_late_confirmation · evidence/test-contract-history-final.log/xml · Retest evidence/test-p7-integration.log/xml</t>
        </is>
      </c>
    </row>
    <row r="43" ht="222.5" customHeight="1">
      <c r="A43" s="7" t="inlineStr">
        <is>
          <t>TC-FADH-35</t>
        </is>
      </c>
      <c r="B43" s="7" t="inlineStr">
        <is>
          <t>Kiểm biên xác nhận ngay trước −30 phút</t>
        </is>
      </c>
      <c r="C43" s="8" t="inlineStr">
        <is>
          <t>Supabase local; patient P có health_data và lịch schedule_id=S ngày 19/10/2026 lúc 08:00 +07; chưa có dose_log cho occurrence; đồng hồ test cố định sau taken_at; dùng bearer của P để xác nhận, không dùng family F.</t>
        </is>
      </c>
      <c r="D43" s="8" t="inlineStr">
        <is>
          <t>1. Ghi số dose_logs của (S, 2026-10-19T08:00:00+07:00) trước khi gọi API.
2. POST /doses/batch bằng bearer P với JSON array gồm một item: client_uuid=UUID v4 mới, schedule_id=S, scheduled_at=2026-10-19T08:00:00+07:00, taken_at=2026-10-19T07:29:59.999999+07:00.
3. Kiểm item bị từ chối theo cửa sổ QD-03; đối chiếu response với contract chuẩn khi có.
4. Đọc DB: không có xác nhận hợp lệ mới, số dose_logs của occurrence không tăng. GET lịch sử một mình không thay thế thao tác POST xác nhận này.</t>
        </is>
      </c>
      <c r="E43" s="8" t="inlineStr">
        <is>
          <t>scheduled=08:00; taken=07:29:59.999999 +07</t>
        </is>
      </c>
      <c r="F43" s="8" t="inlineStr">
        <is>
          <t>Bị từ chối theo cửa sổ xác nhận QD-03; không tạo xác nhận hợp lệ.</t>
        </is>
      </c>
      <c r="G43" s="8" t="inlineStr">
        <is>
          <t>Hai cách nhóm date/medication Pass trên API/DB thật. POST batch trả 200, item failed=1/taken_at_too_early; không tạo dose_log; family GET trả lịch sử rỗng, audit allowed. Lượt P7 chạy lại toàn backend integration: nhóm history API/PEP 66 Pass/2 Fail, TC20 vẫn Fail ở hai grouping; các ca khác trong nhóm này giữ kết quả. evidence/test-p7-integration.log/xml.</t>
        </is>
      </c>
      <c r="H43" s="7" t="inlineStr">
        <is>
          <t>Pass</t>
        </is>
      </c>
      <c r="I43" s="8" t="inlineStr">
        <is>
          <t>PB21 · AC2,AC3 · BVA (min-1) · test_family_confirmation_adjacent_boundaries__AC2_AC3[before-early-window] · evidence/test-contract-history-final.log/xml · Retest evidence/test-p7-integration.log/xml</t>
        </is>
      </c>
    </row>
    <row r="44" ht="173" customHeight="1">
      <c r="A44" s="7" t="inlineStr">
        <is>
          <t>TC-FADH-36</t>
        </is>
      </c>
      <c r="B44" s="7" t="inlineStr">
        <is>
          <t>Kiểm biên ngay trước +30 phút</t>
        </is>
      </c>
      <c r="C44" s="8" t="inlineStr">
        <is>
          <t>DB Supabase local reset sạch; dùng fixture history_data; patient P có health_data; family F liên kết active, sharing=true và family_sharing của P còn hiệu lực.</t>
        </is>
      </c>
      <c r="D44" s="8" t="inlineStr">
        <is>
          <t>1. Tạo patient/family và lịch 08:00 qua fixture history_data.
2. Dùng bearer P POST /doses/batch: client_uuid mới, schedule_id=S, scheduled_at=08:00, taken_at=08:29:59.999999 +07; đồng hồ test bằng taken_at; kiểm item synced/da_uong.
3. Gọi GET /adherence?patient_id=P&amp;from=2026-10-19&amp;to=2026-10-19 bằng app session của F.
4. Đối chiếu response, dose_logs và access_logs bằng assertion của test nêu ở Comments.</t>
        </is>
      </c>
      <c r="E44" s="8" t="inlineStr">
        <is>
          <t>scheduled=08:00; taken=08:29:59.999999 +07</t>
        </is>
      </c>
      <c r="F44" s="8" t="inlineStr">
        <is>
          <t>da_uong; tỷ lệ có liều hợp lệ ngay khi xác nhận.</t>
        </is>
      </c>
      <c r="G44" s="8" t="inlineStr">
        <is>
          <t>Hai cách nhóm date/medication Pass trên API/DB thật. POST xác nhận 08:29:59.999999 hợp lệ; family GET có một da_uong, counted=1/rate=100 ngay, audit allowed; GET không đổi dose_log. Lượt P7 chạy lại toàn backend integration: nhóm history API/PEP 66 Pass/2 Fail, TC20 vẫn Fail ở hai grouping; các ca khác trong nhóm này giữ kết quả. evidence/test-p7-integration.log/xml.</t>
        </is>
      </c>
      <c r="H44" s="7" t="inlineStr">
        <is>
          <t>Pass</t>
        </is>
      </c>
      <c r="I44" s="8" t="inlineStr">
        <is>
          <t>PB21 · AC2,AC3 · BVA (+30-1) · test_family_confirmation_adjacent_boundaries__AC2_AC3[before-on-time-deadline] · evidence/test-contract-history-final.log/xml · Retest evidence/test-p7-integration.log/xml</t>
        </is>
      </c>
    </row>
    <row r="45" ht="123.5" customHeight="1">
      <c r="A45" s="7" t="inlineStr">
        <is>
          <t>TC-FADH-37</t>
        </is>
      </c>
      <c r="B45" s="7" t="inlineStr">
        <is>
          <t>Loại liều hủy và biểu diễn xung đột/đối soát</t>
        </is>
      </c>
      <c r="C45" s="8" t="inlineStr">
        <is>
          <t>DB Supabase local reset sạch; dùng fixture history_data; patient P có health_data; family F liên kết active, sharing=true và family_sharing của P còn hiệu lực.</t>
        </is>
      </c>
      <c r="D45" s="8" t="inlineStr">
        <is>
          <t>1. Đối chiếu contract 3.23 với QD-42.
2. Khi schema hỗ trợ, tạo liều hủy/xung đột/đối soát theo fixture thật.
3. Gọi GET /adherence?patient_id=P&amp;from=2026-10-19&amp;to=2026-10-19 bằng app session của F.
4. Đối chiếu response, dose_logs và access_logs bằng assertion của test nêu ở Comments.</t>
        </is>
      </c>
      <c r="E45" s="8" t="inlineStr">
        <is>
          <t>Liều hủy; liều xung đột; liều đối soát</t>
        </is>
      </c>
      <c r="F45" s="8" t="inlineStr">
        <is>
          <t>Loại liều hủy; nhãn tạm thời, tính lại và thời điểm/phiên bản cập nhật theo QD-42 được đặc tả và kiểm chứng.</t>
        </is>
      </c>
      <c r="G45" s="8" t="inlineStr"/>
      <c r="H45" s="7" t="inlineStr">
        <is>
          <t>Pending</t>
        </is>
      </c>
      <c r="I45" s="8" t="inlineStr">
        <is>
          <t>PB21 · AC8 · Chuyển trạng thái (đối soát) · Pending: dữ liệu/field đối soát chưa được đặc tả; không tạo oracle giả.</t>
        </is>
      </c>
    </row>
    <row r="46" ht="107" customHeight="1">
      <c r="A46" s="7" t="inlineStr">
        <is>
          <t>TC-FADH-38</t>
        </is>
      </c>
      <c r="B46" s="7" t="inlineStr">
        <is>
          <t>Kiểm tỷ lệ đúng giờ riêng theo QD-42</t>
        </is>
      </c>
      <c r="C46" s="8" t="inlineStr">
        <is>
          <t>DB Supabase local reset sạch; dùng fixture history_data; patient P có health_data; family F liên kết active, sharing=true và family_sharing của P còn hiệu lực.</t>
        </is>
      </c>
      <c r="D46" s="8" t="inlineStr">
        <is>
          <t>1. Đọc định nghĩa tử số/mẫu số và field trong contract 3.23.
2. Tạo liều đúng giờ, trễ, pending và missed; GET /adherence.
3. So tỷ lệ với công thức đã chốt.</t>
        </is>
      </c>
      <c r="E46" s="8" t="inlineStr">
        <is>
          <t>1 taken,1 late,1 missed,1 pending</t>
        </is>
      </c>
      <c r="F46" s="8" t="inlineStr">
        <is>
          <t>Có công thức và response biểu diễn tỷ lệ đúng giờ riêng đã được chủ sở hữu chốt.</t>
        </is>
      </c>
      <c r="G46" s="8" t="inlineStr"/>
      <c r="H46" s="7" t="inlineStr">
        <is>
          <t>Pending</t>
        </is>
      </c>
      <c r="I46" s="8" t="inlineStr">
        <is>
          <t>PB21 · AC8 · EP (2,3) · Pending: Contract /adherence đã khôi phục nhưng chưa biểu diễn tỷ lệ đúng giờ riêng; không suy ra công thức.</t>
        </is>
      </c>
    </row>
    <row r="47" ht="239" customHeight="1">
      <c r="A47" s="7" t="inlineStr">
        <is>
          <t>TC-FADH-39</t>
        </is>
      </c>
      <c r="B47" s="7" t="inlineStr">
        <is>
          <t>Xóa dữ liệu phiên khi đổi bệnh nhân</t>
        </is>
      </c>
      <c r="C47" s="8" t="inlineStr">
        <is>
          <t>Thiết bị Android test package riêng; production UI 3.24 đã có; family F đã mở lịch sử P bằng local API/DB.</t>
        </is>
      </c>
      <c r="D47" s="8" t="inlineStr">
        <is>
          <t>1. Mở app test và chọn P trong Người thân.
2. Mở lịch sử, xác nhận có liều.
3. Thực hiện đổi bệnh nhân.
4. Kiểm không hiển thị dữ liệu cũ, không lưu bền, response cũ không phục hồi dữ liệu.</t>
        </is>
      </c>
      <c r="E47" s="8" t="inlineStr">
        <is>
          <t>P có liều 08:00; Q không có dữ liệu của P; sự kiện=đổi bệnh nhân</t>
        </is>
      </c>
      <c r="F47" s="8" t="inlineStr">
        <is>
          <t>Dữ liệu sức khỏe cũ bị xóa khỏi RAM/UI; không có cache bền; không phục hồi bởi response đến muộn.</t>
        </is>
      </c>
      <c r="G47" s="8" t="inlineStr"/>
      <c r="H47" s="7" t="inlineStr">
        <is>
          <t>Pending</t>
        </is>
      </c>
      <c r="I47" s="8" t="inlineStr">
        <is>
          <t>PB21 · AC6 · Chuyển trạng thái (session) · manual · Pending: Android emulator-5580 đã chạy production route với local API/DB thật: linked Pass, revoke hai lần Pass, cross_patient Pass; chưa kiểm thao tác selector UI chính và cache bền. Lượt đầu revoke có handshake Fail chưa xác định nguyên nhân, giữ log đỏ. evidence/test-p7-android.log; evidence/test-p7-android-revoke-diagnostic.log; evidence/test-p7-android-final.log</t>
        </is>
      </c>
    </row>
    <row r="48" ht="189.5" customHeight="1">
      <c r="A48" s="7" t="inlineStr">
        <is>
          <t>TC-FADH-40</t>
        </is>
      </c>
      <c r="B48" s="7" t="inlineStr">
        <is>
          <t>Xóa dữ liệu phiên khi mất mạng</t>
        </is>
      </c>
      <c r="C48" s="8" t="inlineStr">
        <is>
          <t>Widget test production FamilyAdherenceScreen/DrugTimeApp; repository cấp fixture thuốc giả; đã kiểm Thuốc A hiện trước trigger. Không phải Android/API thật.</t>
        </is>
      </c>
      <c r="D48" s="8" t="inlineStr">
        <is>
          <t>1. Chạy family_adherence_screen_test.dart bằng flutter test.
2. Load lịch sử, kiểm Thuốc A đang hiện.
3. Emit false qua ConnectivityMonitor do app đăng ký; pump UI.
4. Kiểm không còn text Thuốc A, kể cả offstage.
5. Emit true để online lại; kiểm có request mới và chưa hiện dữ liệu cũ.
6. Hoàn tất request mới bằng denied; kiểm thông báo Không còn quyền xem lịch sử.</t>
        </is>
      </c>
      <c r="E48" s="8" t="inlineStr">
        <is>
          <t>Fixture thuốc giả Thuốc A; ngày VN hiện tại của route app.</t>
        </is>
      </c>
      <c r="F48" s="8" t="inlineStr">
        <is>
          <t>Sau mất mạng, dữ liệu sức khỏe cũ biến mất ngay khỏi UI, kể cả offstage.</t>
        </is>
      </c>
      <c r="G48" s="8" t="inlineStr">
        <is>
          <t>Pass trên frontend 46275fa: offline xóa toàn bộ Text Thuốc A kể cả offstage; online lại tạo GET mới, chưa hiển thị dữ liệu cũ; phản hồi denied hiện Không còn quyền xem lịch sử. Widget test, chưa xác minh lifecycle Android/API thật.</t>
        </is>
      </c>
      <c r="H48" s="7" t="inlineStr">
        <is>
          <t>Pass</t>
        </is>
      </c>
      <c r="I48" s="8" t="inlineStr">
        <is>
          <t>PB21 · AC6 · Chuyển trạng thái (session) · unit/widget · AC6 QD-29: offline removes health data · BUG-3.25-02 đã xác nhận fix ở widget; native OS Pending · evidence/test-bug02-family-mobile.jsonl</t>
        </is>
      </c>
    </row>
    <row r="49" ht="255.5" customHeight="1">
      <c r="A49" s="7" t="inlineStr">
        <is>
          <t>TC-FADH-41</t>
        </is>
      </c>
      <c r="B49" s="7" t="inlineStr">
        <is>
          <t>Xóa dữ liệu phiên khi đưa app vào nền</t>
        </is>
      </c>
      <c r="C49" s="8" t="inlineStr">
        <is>
          <t>Widget test production FamilyAdherenceScreen/DrugTimeApp; repository cấp fixture thuốc giả; đã kiểm Thuốc A hiện trước trigger. Không phải Android/API thật.</t>
        </is>
      </c>
      <c r="D49" s="8" t="inlineStr">
        <is>
          <t>1. Chạy family_adherence_screen_test.dart bằng flutter test.
2. Load lịch sử, kiểm Thuốc A đang hiện.
3. Phát inactive → hidden → paused rồi pump một frame.
4. Kiểm không còn text Thuốc A, kể cả offstage.
5. Resume để bắt đầu request mới, đưa app về paused và hoàn tất response cũ; kiểm không có Thuốc A.
6. Refresh trong paused; kiểm không phát sinh GET.
7. Resume lần nữa; kiểm có request mới, trả denied và kiểm thông báo Không còn quyền xem lịch sử.</t>
        </is>
      </c>
      <c r="E49" s="8" t="inlineStr">
        <is>
          <t>Fixture thuốc giả Thuốc A; screen clock 22/10/2026; lifecycle inactive/hidden/paused.</t>
        </is>
      </c>
      <c r="F49" s="8" t="inlineStr">
        <is>
          <t>Sau vào nền, dữ liệu sức khỏe cũ biến mất ngay khỏi UI, kể cả offstage.</t>
        </is>
      </c>
      <c r="G49" s="8" t="inlineStr">
        <is>
          <t>Pass trên frontend 46275fa: inactive/hidden/paused xóa toàn bộ Text Thuốc A kể cả offstage; response thành công tới muộn không khôi phục dữ liệu; refresh khi paused không gọi thêm GET; resumed gọi lại và denied không hiện dữ liệu cũ. Widget test, chưa xác minh lifecycle Android thật.</t>
        </is>
      </c>
      <c r="H49" s="7" t="inlineStr">
        <is>
          <t>Pass</t>
        </is>
      </c>
      <c r="I49" s="8" t="inlineStr">
        <is>
          <t>PB21 · AC6 · Chuyển trạng thái (session) · unit/widget · AC6 QD-29: background removes health data · BUG-3.25-02 đã xác nhận fix ở widget; native OS Pending · evidence/test-bug02-family-mobile.jsonl</t>
        </is>
      </c>
    </row>
    <row r="50" ht="222.5" customHeight="1">
      <c r="A50" s="7" t="inlineStr">
        <is>
          <t>TC-FADH-42</t>
        </is>
      </c>
      <c r="B50" s="7" t="inlineStr">
        <is>
          <t>Xóa dữ liệu phiên khi đăng xuất</t>
        </is>
      </c>
      <c r="C50" s="8" t="inlineStr">
        <is>
          <t>Thiết bị Android test package riêng; production UI 3.24 đã có; family F đã mở lịch sử P bằng local API/DB.</t>
        </is>
      </c>
      <c r="D50" s="8" t="inlineStr">
        <is>
          <t>1. Mở app test và chọn P trong Người thân.
2. Mở lịch sử, xác nhận có liều.
3. Thực hiện đăng xuất.
4. Kiểm không hiển thị dữ liệu cũ, không lưu bền, response cũ không phục hồi dữ liệu.</t>
        </is>
      </c>
      <c r="E50" s="8" t="inlineStr">
        <is>
          <t>P có liều 08:00; Q không có dữ liệu của P; sự kiện=đăng xuất</t>
        </is>
      </c>
      <c r="F50" s="8" t="inlineStr">
        <is>
          <t>Dữ liệu sức khỏe cũ bị xóa khỏi RAM/UI; không có cache bền; không phục hồi bởi response đến muộn.</t>
        </is>
      </c>
      <c r="G50" s="8" t="inlineStr"/>
      <c r="H50" s="7" t="inlineStr">
        <is>
          <t>Pending</t>
        </is>
      </c>
      <c r="I50" s="8" t="inlineStr">
        <is>
          <t>PB21 · AC6 · Chuyển trạng thái (session) · manual · Pending: Android emulator-5580 đã chạy production route với local API/DB thật: linked Pass, revoke hai lần Pass, cross_patient Pass; chưa kiểm logout trên Android. Lượt đầu revoke có handshake Fail chưa xác định nguyên nhân, giữ log đỏ. evidence/test-p7-android.log; evidence/test-p7-android-revoke-diagnostic.log; evidence/test-p7-android-final.log</t>
        </is>
      </c>
    </row>
    <row r="51" ht="255.5" customHeight="1">
      <c r="A51" s="7" t="inlineStr">
        <is>
          <t>TC-FADH-43</t>
        </is>
      </c>
      <c r="B51" s="7" t="inlineStr">
        <is>
          <t>Xóa dữ liệu phiên khi nhận 403</t>
        </is>
      </c>
      <c r="C51" s="8" t="inlineStr">
        <is>
          <t>Thiết bị Android test package riêng; production UI 3.24 đã có; family F đã mở lịch sử P bằng local API/DB.</t>
        </is>
      </c>
      <c r="D51" s="8" t="inlineStr">
        <is>
          <t>1. Mở app test và chọn P trong Người thân.
2. Mở lịch sử, xác nhận có liều.
3. Thực hiện nhận 403.
4. Kiểm không hiển thị dữ liệu cũ, không lưu bền, response cũ không phục hồi dữ liệu.</t>
        </is>
      </c>
      <c r="E51" s="8" t="inlineStr">
        <is>
          <t>P có liều 08:00; Q không có dữ liệu của P; sự kiện=nhận 403</t>
        </is>
      </c>
      <c r="F51" s="8" t="inlineStr">
        <is>
          <t>Dữ liệu sức khỏe cũ bị xóa khỏi RAM/UI; không có cache bền; không phục hồi bởi response đến muộn.</t>
        </is>
      </c>
      <c r="G51" s="8" t="inlineStr"/>
      <c r="H51" s="7" t="inlineStr">
        <is>
          <t>Pending</t>
        </is>
      </c>
      <c r="I51" s="8" t="inlineStr">
        <is>
          <t>PB21 · AC6 · Chuyển trạng thái (session) · manual · Pending: Android emulator-5580 đã chạy production route với local API/DB thật: linked Pass, revoke hai lần Pass, cross_patient Pass; đã kiểm 403 trên route; chưa kiểm toàn bộ cache bền/response tới muộn trên thiết bị. Lượt đầu revoke có handshake Fail chưa xác định nguyên nhân, giữ log đỏ. evidence/test-p7-android.log; evidence/test-p7-android-revoke-diagnostic.log; evidence/test-p7-android-final.log</t>
        </is>
      </c>
    </row>
    <row r="52" ht="255.5" customHeight="1">
      <c r="A52" s="7" t="inlineStr">
        <is>
          <t>TC-FADH-44</t>
        </is>
      </c>
      <c r="B52" s="7" t="inlineStr">
        <is>
          <t>Chỉ xem lịch sử trên Mobile và chạy E2E thu hồi</t>
        </is>
      </c>
      <c r="C52" s="8" t="inlineStr">
        <is>
          <t>UI 3.24 và Android test package riêng cùng local API/DB.</t>
        </is>
      </c>
      <c r="D52" s="8" t="inlineStr">
        <is>
          <t>1. Chọn P; mở lịch sử; tìm thao tác sửa lịch/xác nhận hộ.
2. Bệnh nhân thu hồi quyền; refresh lịch sử bằng cùng phiên.
3. Đổi sang Q và kiểm không còn dữ liệu P.</t>
        </is>
      </c>
      <c r="E52" s="8" t="inlineStr">
        <is>
          <t>Family F; linked P; unlinked Q</t>
        </is>
      </c>
      <c r="F52" s="8" t="inlineStr">
        <is>
          <t>Không có thao tác ghi hộ; request sau thu hồi 403, không còn dữ liệu cũ; DB có denied.</t>
        </is>
      </c>
      <c r="G52" s="8" t="inlineStr"/>
      <c r="H52" s="7" t="inlineStr">
        <is>
          <t>Pending</t>
        </is>
      </c>
      <c r="I52" s="8" t="inlineStr">
        <is>
          <t>PB21 · AC1,AC4,AC5,AC6 · manual/E2E · Pending: Android emulator-5580 đã chạy production route với local API/DB thật: linked Pass, revoke hai lần Pass, cross_patient Pass; đã kiểm route read-only/revoke/cross-patient; chưa kiểm chọn patient từ UI chính. Lượt đầu revoke có handshake Fail chưa xác định nguyên nhân, giữ log đỏ. evidence/test-p7-android.log; evidence/test-p7-android-revoke-diagnostic.log; evidence/test-p7-android-final.log</t>
        </is>
      </c>
    </row>
    <row r="53" ht="206" customHeight="1">
      <c r="A53" s="7" t="inlineStr">
        <is>
          <t>TC-FADH-45</t>
        </is>
      </c>
      <c r="B53" s="7" t="inlineStr">
        <is>
          <t>Truy vết PB21 và gộp test case tổng</t>
        </is>
      </c>
      <c r="C53" s="8" t="inlineStr">
        <is>
          <t>Báo cáo test và workbook đã được dựng bằng script chuẩn.</t>
        </is>
      </c>
      <c r="D53" s="8" t="inlineStr">
        <is>
          <t>1. Đối chiếu AC1–AC9 với test, XML và log.
2. Chạy testcase_xlsx.py validate/build/merge 3.25.
3. So sheet cũ và đếm trạng thái/Bug Report; đọc báo cáo để phân biệt lỗi với Pending.</t>
        </is>
      </c>
      <c r="E53" s="8" t="inlineStr">
        <is>
          <t>PB21; code FADH; task 3.25</t>
        </is>
      </c>
      <c r="F53" s="8" t="inlineStr">
        <is>
          <t>Mỗi AC có ca; một sheet FADH; các sheet chức năng cũ giữ nguyên; Fail có bug, Pending không được báo Pass.</t>
        </is>
      </c>
      <c r="G53" s="8" t="inlineStr">
        <is>
          <t>Đối chiếu evidence P7: history integration 66 Pass/2 Fail; 19 host-runner unit Pass; ba scenario host HTTP/PEP/DB đạt; Android linked Pass, revoke hai lần Pass và cross_patient Pass. Lượt đầu revoke handshake Fail chưa rõ nguyên nhân được giữ riêng. Giữ 53 ID với 46 Pass/1 Fail/6 Pending; dựng/gộp bằng script chuẩn, 20 sheet khác giữ nguyên. Không nghiệm thu toàn PB21/OS/selector/AC8. evidence/test-p7-final-verify.log; evidence/test-p7-android-final.log.</t>
        </is>
      </c>
      <c r="H53" s="7" t="inlineStr">
        <is>
          <t>Pass</t>
        </is>
      </c>
      <c r="I53" s="8" t="inlineStr">
        <is>
          <t>PB21 · AC9 · manual (đối chiếu artifact) · evidence/test-contract-workbook-verify.log · evidence/test-contract-testcase-xlsx.log · Lượt P7 evidence/test-p7-final-verify.log</t>
        </is>
      </c>
    </row>
    <row r="54" ht="189.5" customHeight="1">
      <c r="A54" s="7" t="inlineStr">
        <is>
          <t>TC-FADH-46</t>
        </is>
      </c>
      <c r="B54" s="7" t="inlineStr">
        <is>
          <t>Gọi lại GET với patient và bearer hiện tại sau từ chối; không trả cache khi lỗi mạng</t>
        </is>
      </c>
      <c r="C54" s="8" t="inlineStr">
        <is>
          <t>Production repository/controller/widget ở frontend b24ee68; unit/widget dùng mock HTTP/repository và fixture thuốc giả, không chứng minh DB/Android.</t>
        </is>
      </c>
      <c r="D54" s="8" t="inlineStr">
        <is>
          <t>1. Chạy flutter test --no-pub --reporter json; lọc file family_adherence_* tại test/features/family.
2. Mock HTTP: GET thành công, GET 403 rồi GET lại với bearer mới; nhánh khác thành công rồi ném ClientException.
3. Đối chiếu assertion và testDone của đúng test, không tính file adherence cùng tên.</t>
        </is>
      </c>
      <c r="E54" s="8" t="inlineStr">
        <is>
          <t>Mock HTTP: GET thành công, GET 403 rồi GET lại với bearer mới; nhánh khác thành công rồi ném ClientException.</t>
        </is>
      </c>
      <c r="F54" s="8" t="inlineStr">
        <is>
          <t>Mỗi lần fetch gửi GET mới với patient_id/date/group_by và bearer hiện tại; 403/network truyền failure, không trả lịch sử cũ.</t>
        </is>
      </c>
      <c r="G54" s="8" t="inlineStr">
        <is>
          <t>2 test Pass trong phiên 25/10/2026; AC4: refetches the selected patient and current bearer after a denial; AC6: a network failure after success never returns cached history. evidence/test-contract-mobile.jsonl. Đã chạy lại nhóm 16 test trong lượt cập nhật contract: 14 Pass/2 Fail; evidence/test-contract-mobile.jsonl. Retest frontend 46275fa: nhóm family history 17 Pass/0 Fail/0 Skip; evidence/test-bug02-family-mobile.jsonl.</t>
        </is>
      </c>
      <c r="H54" s="7" t="inlineStr">
        <is>
          <t>Pass</t>
        </is>
      </c>
      <c r="I54" s="8" t="inlineStr">
        <is>
          <t>PB21 · AC4,AC6 · Đoán lỗi/Chuyển trạng thái · unit/widget · evidence/test-contract-mobile.jsonl · Retest evidence/test-bug02-family-mobile.jsonl</t>
        </is>
      </c>
    </row>
    <row r="55" ht="189.5" customHeight="1">
      <c r="A55" s="7" t="inlineStr">
        <is>
          <t>TC-FADH-47</t>
        </is>
      </c>
      <c r="B55" s="7" t="inlineStr">
        <is>
          <t>Từ chối response thuộc patient khác ở repository và controller</t>
        </is>
      </c>
      <c r="C55" s="8" t="inlineStr">
        <is>
          <t>Production repository/controller/widget ở frontend b24ee68; unit/widget dùng mock HTTP/repository và fixture thuốc giả, không chứng minh DB/Android.</t>
        </is>
      </c>
      <c r="D55" s="8" t="inlineStr">
        <is>
          <t>1. Chạy flutter test --no-pub --reporter json; lọc file family_adherence_* tại test/features/family.
2. Request Q nhưng HTTP/reader cấp response P; UUID P và Q khác nhau.
3. Đối chiếu assertion và testDone của đúng test, không tính file adherence cùng tên.</t>
        </is>
      </c>
      <c r="E55" s="8" t="inlineStr">
        <is>
          <t>Request Q nhưng HTTP/reader cấp response P; UUID P và Q khác nhau.</t>
        </is>
      </c>
      <c r="F55" s="8" t="inlineStr">
        <is>
          <t>Repository ném invalidResponse; controller không giữ history P.</t>
        </is>
      </c>
      <c r="G55" s="8" t="inlineStr">
        <is>
          <t>2 test Pass trong phiên 25/10/2026; AC4: a response for P cannot satisfy a request for Q; AC4: the controller also rejects a mismatched patient from its reader. evidence/test-contract-mobile.jsonl. Đã chạy lại nhóm 16 test trong lượt cập nhật contract: 14 Pass/2 Fail; evidence/test-contract-mobile.jsonl. Retest frontend 46275fa: nhóm family history 17 Pass/0 Fail/0 Skip; evidence/test-bug02-family-mobile.jsonl.</t>
        </is>
      </c>
      <c r="H55" s="7" t="inlineStr">
        <is>
          <t>Pass</t>
        </is>
      </c>
      <c r="I55" s="8" t="inlineStr">
        <is>
          <t>PB21 · AC4,AC6 · Đoán lỗi/Chuyển trạng thái · unit/widget · evidence/test-contract-mobile.jsonl · Retest evidence/test-bug02-family-mobile.jsonl</t>
        </is>
      </c>
    </row>
    <row r="56" ht="305" customHeight="1">
      <c r="A56" s="7" t="inlineStr">
        <is>
          <t>TC-FADH-48</t>
        </is>
      </c>
      <c r="B56" s="7" t="inlineStr">
        <is>
          <t>Hủy response cũ khi refresh, đổi patient hoặc clear controller</t>
        </is>
      </c>
      <c r="C56" s="8" t="inlineStr">
        <is>
          <t>Production repository/controller/widget ở frontend b24ee68; unit/widget dùng mock HTTP/repository và fixture thuốc giả, không chứng minh DB/Android.</t>
        </is>
      </c>
      <c r="D56" s="8" t="inlineStr">
        <is>
          <t>1. Chạy flutter test --no-pub --reporter json; lọc file family_adherence_* tại test/features/family.
2. Completer điều khiển thứ tự: load P; hai refresh cạnh tranh hoặc đổi sang Q hoặc clear; hoàn tất response cũ sau failure/response mới.
3. Đối chiếu assertion và testDone của đúng test, không tính file adherence cùng tên.</t>
        </is>
      </c>
      <c r="E56" s="8" t="inlineStr">
        <is>
          <t>Completer điều khiển thứ tự: load P; hai refresh cạnh tranh hoặc đổi sang Q hoặc clear; hoàn tất response cũ sau failure/response mới.</t>
        </is>
      </c>
      <c r="F56" s="8" t="inlineStr">
        <is>
          <t>history bị clear ngay; denied/network/unauthorized đúng failure; response cũ không phục hồi dữ liệu; clear không tự fetch.</t>
        </is>
      </c>
      <c r="G56" s="8" t="inlineStr">
        <is>
          <t>5 test Pass trong phiên 25/10/2026; AC6: refresh clears RAM before AdherenceFailureKind.denied and accepts no stale success; AC6: refresh clears RAM before AdherenceFailureKind.network and accepts no stale success; AC6: refresh clears RAM before AdherenceFailureKind.unauthorized and accepts no stale success; AC6: switching patient clears visible history and rejects the old result; AC6: clear invalidates an in-flight read without an automatic refetch. evidence/test-contract-mobile.jsonl. Đã chạy lại nhóm 16 test trong lượt cập nhật contract: 14 Pass/2 Fail; evidence/test-contract-mobile.jsonl. Retest frontend 46275fa: nhóm family history 17 Pass/0 Fail/0 Skip; evidence/test-bug02-family-mobile.jsonl.</t>
        </is>
      </c>
      <c r="H56" s="7" t="inlineStr">
        <is>
          <t>Pass</t>
        </is>
      </c>
      <c r="I56" s="8" t="inlineStr">
        <is>
          <t>PB21 · AC6 · Đoán lỗi/Chuyển trạng thái · unit/widget · evidence/test-contract-mobile.jsonl · Retest evidence/test-bug02-family-mobile.jsonl</t>
        </is>
      </c>
    </row>
    <row r="57" ht="222.5" customHeight="1">
      <c r="A57" s="7" t="inlineStr">
        <is>
          <t>TC-FADH-49</t>
        </is>
      </c>
      <c r="B57" s="7" t="inlineStr">
        <is>
          <t>Xóa dữ liệu widget khi đổi patient hoặc refresh gặp 403/network</t>
        </is>
      </c>
      <c r="C57" s="8" t="inlineStr">
        <is>
          <t>Production repository/controller/widget ở frontend b24ee68; unit/widget dùng mock HTTP/repository và fixture thuốc giả, không chứng minh DB/Android.</t>
        </is>
      </c>
      <c r="D57" s="8" t="inlineStr">
        <is>
          <t>1. Chạy flutter test --no-pub --reporter json; lọc file family_adherence_* tại test/features/family.
2. Widget production đã load Thuốc A; đổi patientId sang Q hoặc refresh rồi trả denied/network.
3. Đối chiếu assertion và testDone của đúng test, không tính file adherence cùng tên.</t>
        </is>
      </c>
      <c r="E57" s="8" t="inlineStr">
        <is>
          <t>Widget production đã load Thuốc A; đổi patientId sang Q hoặc refresh rồi trả denied/network.</t>
        </is>
      </c>
      <c r="F57" s="8" t="inlineStr">
        <is>
          <t>Không còn Thuốc A trước khi Q hoàn tất hoặc ngay khi refresh; hiện thông báo lỗi tương ứng, không giữ dữ liệu P.</t>
        </is>
      </c>
      <c r="G57" s="8" t="inlineStr">
        <is>
          <t>3 test Pass trong phiên 25/10/2026; AC6: changing to Q removes P before the Q read completes; AC6: refresh AdherenceFailureKind.denied clears the previously displayed patient; AC6: refresh AdherenceFailureKind.network clears the previously displayed patient. evidence/test-contract-mobile.jsonl. Đã chạy lại nhóm 16 test trong lượt cập nhật contract: 14 Pass/2 Fail; evidence/test-contract-mobile.jsonl. Retest frontend 46275fa: nhóm family history 17 Pass/0 Fail/0 Skip; evidence/test-bug02-family-mobile.jsonl.</t>
        </is>
      </c>
      <c r="H57" s="7" t="inlineStr">
        <is>
          <t>Pass</t>
        </is>
      </c>
      <c r="I57" s="8" t="inlineStr">
        <is>
          <t>PB21 · AC6 · Đoán lỗi/Chuyển trạng thái · unit/widget · evidence/test-contract-mobile.jsonl · Retest evidence/test-bug02-family-mobile.jsonl</t>
        </is>
      </c>
    </row>
    <row r="58" ht="156.5" customHeight="1">
      <c r="A58" s="7" t="inlineStr">
        <is>
          <t>TC-FADH-50</t>
        </is>
      </c>
      <c r="B58" s="7" t="inlineStr">
        <is>
          <t>Xóa dữ liệu route người thân khi đăng xuất khỏi app</t>
        </is>
      </c>
      <c r="C58" s="8" t="inlineStr">
        <is>
          <t>Production repository/controller/widget ở frontend b24ee68; unit/widget dùng mock HTTP/repository và fixture thuốc giả, không chứng minh DB/Android.</t>
        </is>
      </c>
      <c r="D58" s="8" t="inlineStr">
        <is>
          <t>1. Chạy flutter test --no-pub --reporter json; lọc file family_adherence_* tại test/features/family.
2. DrugTimeApp có session family giả, mở named route lịch sử và load fixture hôm nay; gọi auth.signOut() rồi pump UI.
3. Đối chiếu assertion và testDone của đúng test, không tính file adherence cùng tên.</t>
        </is>
      </c>
      <c r="E58" s="8" t="inlineStr">
        <is>
          <t>DrugTimeApp có session family giả, mở named route lịch sử và load fixture hôm nay; gọi auth.signOut() rồi pump UI.</t>
        </is>
      </c>
      <c r="F58" s="8" t="inlineStr">
        <is>
          <t>Không còn Thuốc A, kể cả offstage, sau logout trong widget test.</t>
        </is>
      </c>
      <c r="G58" s="8" t="inlineStr">
        <is>
          <t>1 test Pass trong phiên 25/10/2026; AC6 QD-29: logout removes health data from the actual app. evidence/test-contract-mobile.jsonl. Đã chạy lại nhóm 16 test trong lượt cập nhật contract: 14 Pass/2 Fail; evidence/test-contract-mobile.jsonl. Retest frontend 46275fa: nhóm family history 17 Pass/0 Fail/0 Skip; evidence/test-bug02-family-mobile.jsonl.</t>
        </is>
      </c>
      <c r="H58" s="7" t="inlineStr">
        <is>
          <t>Pass</t>
        </is>
      </c>
      <c r="I58" s="8" t="inlineStr">
        <is>
          <t>PB21 · AC6 · Đoán lỗi/Chuyển trạng thái · unit/widget · evidence/test-contract-mobile.jsonl · Retest evidence/test-bug02-family-mobile.jsonl</t>
        </is>
      </c>
    </row>
    <row r="59" ht="156.5" customHeight="1">
      <c r="A59" s="7" t="inlineStr">
        <is>
          <t>TC-FADH-51</t>
        </is>
      </c>
      <c r="B59" s="7" t="inlineStr">
        <is>
          <t>Hiển thị lịch sử người thân chỉ đọc</t>
        </is>
      </c>
      <c r="C59" s="8" t="inlineStr">
        <is>
          <t>Production repository/controller/widget ở frontend b24ee68; unit/widget dùng mock HTTP/repository và fixture thuốc giả, không chứng minh DB/Android.</t>
        </is>
      </c>
      <c r="D59" s="8" t="inlineStr">
        <is>
          <t>1. Chạy flutter test --no-pub --reporter json; lọc file family_adherence_* tại test/features/family.
2. Mở FamilyAdherenceScreen với fixture history; không gọi backend thật.
3. Đối chiếu assertion và testDone của đúng test, không tính file adherence cùng tên.</t>
        </is>
      </c>
      <c r="E59" s="8" t="inlineStr">
        <is>
          <t>Mở FamilyAdherenceScreen với fixture history; không gọi backend thật.</t>
        </is>
      </c>
      <c r="F59" s="8" t="inlineStr">
        <is>
          <t>Hiện dữ liệu và 66.67%; không có nút Xác nhận/Sửa hoặc TextField.</t>
        </is>
      </c>
      <c r="G59" s="8" t="inlineStr">
        <is>
          <t>1 test Pass trong phiên 25/10/2026; AC6: the family view has data and no dose or schedule writes. evidence/test-contract-mobile.jsonl. Đã chạy lại nhóm 16 test trong lượt cập nhật contract: 14 Pass/2 Fail; evidence/test-contract-mobile.jsonl. Retest frontend 46275fa: nhóm family history 17 Pass/0 Fail/0 Skip; evidence/test-bug02-family-mobile.jsonl.</t>
        </is>
      </c>
      <c r="H59" s="7" t="inlineStr">
        <is>
          <t>Pass</t>
        </is>
      </c>
      <c r="I59" s="8" t="inlineStr">
        <is>
          <t>PB21 · AC6 · Đoán lỗi/Chuyển trạng thái · unit/widget · evidence/test-contract-mobile.jsonl · Retest evidence/test-bug02-family-mobile.jsonl</t>
        </is>
      </c>
    </row>
    <row r="60" ht="123.5" customHeight="1">
      <c r="A60" s="7" t="inlineStr">
        <is>
          <t>TC-FADH-52</t>
        </is>
      </c>
      <c r="B60" s="7" t="inlineStr">
        <is>
          <t>Tính ngay liều xác nhận và chuyển pending sau +120 qua family API</t>
        </is>
      </c>
      <c r="C60" s="8" t="inlineStr">
        <is>
          <t>Supabase local; history_data; P có hai lịch 08:00; F linked active/sharing và đủ consent.</t>
        </is>
      </c>
      <c r="D60" s="8" t="inlineStr">
        <is>
          <t>1. P xác nhận lịch thứ nhất lúc 08:10, lịch thứ hai chưa xác nhận.
2. F GET /adherence cho P tại 08:10 và đúng 10:00, với cả group_by=date/medication.
3. Dời đồng hồ tới 10:00:00.000001, GET lại với cùng bearer; đối chiếu audit và dose_logs.</t>
        </is>
      </c>
      <c r="E60" s="8" t="inlineStr">
        <is>
          <t>scheduled=2026-10-19 08:00 +07; taken=08:10; as_of=08:10/10:00/10:00+1µs.</t>
        </is>
      </c>
      <c r="F60" s="8" t="inlineStr">
        <is>
          <t>Hai lần đầu total=2/taken=1/pending=1/counted=1/rate=100; sau +120 total=2/taken=1/missed=1/counted=2/rate=50. Mỗi GET có family allowed; không ghi dose_log.</t>
        </is>
      </c>
      <c r="G60" s="8" t="inlineStr">
        <is>
          <t>Hai ca date/medication Pass qua API/DB thật, có assertion summary/audit/dose_logs. Lượt P7 chạy lại toàn backend integration: nhóm history API/PEP 66 Pass/2 Fail, TC20 vẫn Fail ở hai grouping; các ca khác trong nhóm này giữ kết quả. evidence/test-p7-integration.log/xml.</t>
        </is>
      </c>
      <c r="H60" s="7" t="inlineStr">
        <is>
          <t>Pass</t>
        </is>
      </c>
      <c r="I60" s="8" t="inlineStr">
        <is>
          <t>PB21 · AC1,AC2,AC3 · BVA (max,max+1)/Chuyển trạng thái · test_family_history_rate_transitions__AC1_AC2_AC3 · evidence/test-contract-history-final.log/xml · Retest evidence/test-p7-integration.log/xml</t>
        </is>
      </c>
    </row>
    <row r="61" ht="173" customHeight="1">
      <c r="A61" s="7" t="inlineStr">
        <is>
          <t>TC-FADH-53</t>
        </is>
      </c>
      <c r="B61" s="7" t="inlineStr">
        <is>
          <t>Chạy collection Postman và thu hồi quyền ngay request kế tiếp</t>
        </is>
      </c>
      <c r="C61" s="8" t="inlineStr">
        <is>
          <t>FastAPI loopback chạy bằng api_role; Supabase local; dữ liệu test P/F/Q và app session mobile runtime, không ghi token vào Git.</t>
        </is>
      </c>
      <c r="D61" s="8" t="inlineStr">
        <is>
          <t>1. Chạy sáu request trong collection DrugTime-Adherence bằng environment runtime: date/medication, thiếu bearer, Q không liên kết, group sai, quá 90 ngày.
2. Với từng fixture mới, F GET P 200; commit thu hồi health_data/family_sharing/sharing/unlink.
3. Giữ nguyên bearer và GET P bằng request Chặn truy cập không có quyền; kiểm 403, audit allowed→denied và dose_logs không đổi.</t>
        </is>
      </c>
      <c r="E61" s="8" t="inlineStr">
        <is>
          <t>from=to=2026-10-19; fixture thuốc giả; 6 request đầu + 4 cặp before/after = 14 request.</t>
        </is>
      </c>
      <c r="F61" s="8" t="inlineStr">
        <is>
          <t>14 request đúng status; 75 assertion Pass; 4 request ngay sau thu hồi 403 khong_co_quyen cùng bearer; audit DB đúng actor/scope; dose_logs không đổi.</t>
        </is>
      </c>
      <c r="G61" s="8" t="inlineStr">
        <is>
          <t>9 lượt collection CLI exit 0: tổng 14 request/75 assertion Pass; kiểm DB ở 5 kịch bản Pass; report-events tắt, file bearer tạm đã xóa.</t>
        </is>
      </c>
      <c r="H61" s="7" t="inlineStr">
        <is>
          <t>Pass</t>
        </is>
      </c>
      <c r="I61" s="8" t="inlineStr">
        <is>
          <t>PB21 · AC1,AC4,AC5,AC9 · Decision Table (R1–R5)/Chuyển trạng thái · evidence/test-postman-live.log · evidence/test-postman-live-summary.json</t>
        </is>
      </c>
    </row>
    <row r="62"/>
    <row r="63"/>
    <row r="64">
      <c r="G64" s="12" t="inlineStr">
        <is>
          <t>Pass</t>
        </is>
      </c>
      <c r="H64" s="13">
        <f>COUNTIF(H9:H61,"Pass")</f>
        <v/>
      </c>
    </row>
    <row r="65">
      <c r="G65" s="12" t="inlineStr">
        <is>
          <t>Fail</t>
        </is>
      </c>
      <c r="H65" s="13">
        <f>COUNTIF(H9:H61,"Fail")</f>
        <v/>
      </c>
    </row>
    <row r="66">
      <c r="G66" s="12" t="inlineStr">
        <is>
          <t>Pending</t>
        </is>
      </c>
      <c r="H66" s="13">
        <f>COUNTIF(H9:H61,"Pending")</f>
        <v/>
      </c>
    </row>
    <row r="67">
      <c r="G67" s="12" t="inlineStr">
        <is>
          <t>Total</t>
        </is>
      </c>
      <c r="H67" s="13">
        <f>SUM(H64:H66)</f>
        <v/>
      </c>
    </row>
  </sheetData>
  <autoFilter ref="A8:I61"/>
  <conditionalFormatting sqref="H9:H61">
    <cfRule type="cellIs" priority="1" operator="equal" dxfId="0">
      <formula>"Fail"</formula>
    </cfRule>
  </conditionalFormatting>
  <dataValidations count="1">
    <dataValidation sqref="H9:H61" showDropDown="0" showInputMessage="0" showErrorMessage="0" allowBlank="0" type="list">
      <formula1>"Pass,Fail,Pending"</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22" customWidth="1" min="1" max="1"/>
    <col width="40" customWidth="1" min="2" max="2"/>
    <col width="30" customWidth="1" min="3" max="3"/>
    <col width="24" customWidth="1" min="4" max="4"/>
    <col width="24" customWidth="1" min="5" max="5"/>
    <col width="24" customWidth="1" min="6" max="6"/>
    <col width="14" customWidth="1" min="7" max="7"/>
    <col width="40" customWidth="1" min="8" max="8"/>
    <col width="45" customWidth="1" min="9" max="9"/>
  </cols>
  <sheetData>
    <row r="1">
      <c r="A1" s="14" t="inlineStr">
        <is>
          <t>TEST REPORT</t>
        </is>
      </c>
    </row>
    <row r="2">
      <c r="C2" s="15" t="inlineStr">
        <is>
          <t>phucnguyenngoc</t>
        </is>
      </c>
      <c r="D2" s="15" t="inlineStr">
        <is>
          <t>Total</t>
        </is>
      </c>
    </row>
    <row r="3">
      <c r="A3" s="15" t="inlineStr">
        <is>
          <t>Executed</t>
        </is>
      </c>
      <c r="B3" s="9" t="inlineStr">
        <is>
          <t>Passed</t>
        </is>
      </c>
      <c r="C3" s="11">
        <f>'Lịch sử tuân thủ người thân'!$H$64</f>
        <v/>
      </c>
      <c r="D3" s="15">
        <f>SUM(C3:C3)</f>
        <v/>
      </c>
    </row>
    <row r="4">
      <c r="A4" s="16" t="n"/>
      <c r="B4" s="9" t="inlineStr">
        <is>
          <t>Failed</t>
        </is>
      </c>
      <c r="C4" s="11">
        <f>'Lịch sử tuân thủ người thân'!$H$65</f>
        <v/>
      </c>
      <c r="D4" s="15">
        <f>SUM(C4:C4)</f>
        <v/>
      </c>
    </row>
    <row r="5">
      <c r="A5" s="17" t="n"/>
      <c r="B5" s="9" t="inlineStr">
        <is>
          <t>(Total) Test executed (Passed + Failed)</t>
        </is>
      </c>
      <c r="C5" s="11">
        <f>C3+C4</f>
        <v/>
      </c>
      <c r="D5" s="15">
        <f>SUM(C5:C5)</f>
        <v/>
      </c>
    </row>
    <row r="6">
      <c r="A6" s="15" t="inlineStr">
        <is>
          <t>Pending</t>
        </is>
      </c>
      <c r="B6" s="10" t="inlineStr"/>
      <c r="C6" s="11">
        <f>'Lịch sử tuân thủ người thân'!$H$66</f>
        <v/>
      </c>
      <c r="D6" s="15">
        <f>SUM(C6:C6)</f>
        <v/>
      </c>
    </row>
    <row r="7">
      <c r="A7" s="15" t="inlineStr">
        <is>
          <t>(Sub-total) Test Planned</t>
        </is>
      </c>
      <c r="B7" s="10" t="inlineStr"/>
      <c r="C7" s="11">
        <f>C5+C6</f>
        <v/>
      </c>
      <c r="D7" s="15">
        <f>SUM(C7:C7)</f>
        <v/>
      </c>
    </row>
    <row r="10">
      <c r="A10" s="5" t="inlineStr">
        <is>
          <t>Function</t>
        </is>
      </c>
      <c r="B10" s="5" t="inlineStr">
        <is>
          <t>Description</t>
        </is>
      </c>
      <c r="C10" s="5" t="inlineStr">
        <is>
          <t>Sheet Name</t>
        </is>
      </c>
      <c r="D10" s="5" t="inlineStr">
        <is>
          <t>% TCs Executed</t>
        </is>
      </c>
      <c r="E10" s="5" t="inlineStr">
        <is>
          <t>% TCs Passed</t>
        </is>
      </c>
      <c r="F10" s="5" t="inlineStr">
        <is>
          <t>% TCs Failed</t>
        </is>
      </c>
      <c r="G10" s="5" t="inlineStr">
        <is>
          <t>Priority</t>
        </is>
      </c>
      <c r="H10" s="5" t="inlineStr">
        <is>
          <t>Remarks</t>
        </is>
      </c>
      <c r="I10" s="5" t="inlineStr">
        <is>
          <t>Done by</t>
        </is>
      </c>
    </row>
    <row r="11" ht="140" customHeight="1">
      <c r="A11" s="11" t="inlineStr">
        <is>
          <t>Lịch sử tuân thủ cho người thân</t>
        </is>
      </c>
      <c r="B11" s="10" t="inlineStr">
        <is>
          <t>PB21: lịch sử, quyền truy cập, thu hồi, audit, tỷ lệ và dữ liệu phiên.</t>
        </is>
      </c>
      <c r="C11" s="11" t="inlineStr">
        <is>
          <t>Lịch sử tuân thủ người thân</t>
        </is>
      </c>
      <c r="D11" s="18">
        <f>IFERROR(('Lịch sử tuân thủ người thân'!$H$67-'Lịch sử tuân thủ người thân'!$H$66)/'Lịch sử tuân thủ người thân'!$H$67,0)</f>
        <v/>
      </c>
      <c r="E11" s="18">
        <f>IFERROR('Lịch sử tuân thủ người thân'!$H$64/'Lịch sử tuân thủ người thân'!$H$67,0)</f>
        <v/>
      </c>
      <c r="F11" s="18">
        <f>IFERROR('Lịch sử tuân thủ người thân'!$H$65/'Lịch sử tuân thủ người thân'!$H$67,0)</f>
        <v/>
      </c>
      <c r="G11" s="11" t="inlineStr">
        <is>
          <t>High</t>
        </is>
      </c>
      <c r="H11" s="10" t="inlineStr">
        <is>
          <t>P7: history integration 66 Pass/2 Fail; BUG-3.25-01 còn mở. Runner unit 19 Pass; host HTTP/DB/audit đạt. Android linked/revoke/cross_patient có Pass, revoke hai lần Pass sau handshake Fail đầu chưa rõ nguyên nhân. OS/cache bền/selector UI và AC8 còn Pending; BUG-3.25-02 giữ widget retest trước.</t>
        </is>
      </c>
      <c r="I11" s="11" t="inlineStr">
        <is>
          <t>phucnguyenngoc</t>
        </is>
      </c>
    </row>
    <row r="34">
      <c r="A34" s="19" t="inlineStr">
        <is>
          <t>Bug Report</t>
        </is>
      </c>
    </row>
    <row r="35">
      <c r="A35" s="20" t="inlineStr">
        <is>
          <t>Bug ID</t>
        </is>
      </c>
      <c r="B35" s="20" t="inlineStr">
        <is>
          <t>Description</t>
        </is>
      </c>
      <c r="C35" s="20" t="inlineStr">
        <is>
          <t>Steps to Reproduce</t>
        </is>
      </c>
      <c r="D35" s="20" t="inlineStr">
        <is>
          <t>Input Data</t>
        </is>
      </c>
      <c r="E35" s="20" t="inlineStr">
        <is>
          <t>Expected Result</t>
        </is>
      </c>
      <c r="F35" s="20" t="inlineStr">
        <is>
          <t>Actual Result</t>
        </is>
      </c>
      <c r="G35" s="20" t="inlineStr">
        <is>
          <t>Severity</t>
        </is>
      </c>
      <c r="H35" s="20" t="inlineStr">
        <is>
          <t>Name of Tester</t>
        </is>
      </c>
      <c r="I35" s="20" t="inlineStr">
        <is>
          <t>Logs</t>
        </is>
      </c>
    </row>
    <row r="36" ht="305" customHeight="1">
      <c r="A36" s="21" t="inlineStr">
        <is>
          <t>BUG-FADH-20</t>
        </is>
      </c>
      <c r="B36" s="21" t="inlineStr">
        <is>
          <t>Tính ngay xác nhận tại -30 phút</t>
        </is>
      </c>
      <c r="C36" s="21" t="inlineStr">
        <is>
          <t>1. Chạy test tại backend/tests/unit/test_get_adherence_history.py với delay0, cả group_by=date và medication.
2. Quan sát ở đúng taken_at; kiểm summary, nhóm và một dose.</t>
        </is>
      </c>
      <c r="D36" s="21" t="inlineStr">
        <is>
          <t>scheduled_at=08:00 +07; delay=-30 phút; status=da_uong</t>
        </is>
      </c>
      <c r="E36" s="21" t="inlineStr">
        <is>
          <t>total=1, counted=1, rate=100.00; taken/late đúng trạng thái; đúng một liều ngay khi xác nhận.</t>
        </is>
      </c>
      <c r="F36" s="21" t="inlineStr">
        <is>
          <t>Hai ca unit và hai ca family API/DB (date/medication) Fail: xác nhận -30 được nhận, dose_log tồn tại và audit allowed nhưng lịch sử total/taken/counted=0, rate=null thay vì 1/100. Lượt P7 chạy lại toàn backend integration: nhóm history API/PEP 66 Pass/2 Fail, TC20 vẫn Fail ở hai grouping; các ca khác trong nhóm này giữ kết quả. evidence/test-p7-integration.log/xml.</t>
        </is>
      </c>
      <c r="G36" s="21" t="inlineStr">
        <is>
          <t>Medium</t>
        </is>
      </c>
      <c r="H36" s="21" t="inlineStr">
        <is>
          <t>phucnguyenngoc</t>
        </is>
      </c>
      <c r="I36" s="21" t="inlineStr">
        <is>
          <t>BUG-3.25-01: domain build_history và SQL reader lọc scheduled_at &lt;= as_of; đã tái hiện ở family API/DB, không chỉ unit. Contract gốc giữ quy tắc loại liều chưa đến giờ, khác ngoại lệ AC3 được người dùng chốt.
Log: evidence/test-contract-history-final.log</t>
        </is>
      </c>
    </row>
  </sheetData>
  <mergeCells count="2">
    <mergeCell ref="A1:G1"/>
    <mergeCell ref="A3:A5"/>
  </mergeCells>
  <conditionalFormatting sqref="F11">
    <cfRule type="cellIs" priority="1" operator="greaterThan" dxfId="0">
      <formula>0.2</formula>
    </cfRule>
  </conditionalFormatting>
  <conditionalFormatting sqref="G11">
    <cfRule type="expression" priority="2" dxfId="0">
      <formula>OR(G11="Critical",G11="High")</formula>
    </cfRule>
  </conditionalFormatting>
  <conditionalFormatting sqref="G36">
    <cfRule type="cellIs" priority="3" operator="equal" dxfId="1">
      <formula>"Critical"</formula>
    </cfRule>
    <cfRule type="cellIs" priority="4" operator="equal" dxfId="2">
      <formula>"High"</formula>
    </cfRule>
    <cfRule type="cellIs" priority="5" operator="equal" dxfId="3">
      <formula>"Medium"</formula>
    </cfRule>
  </conditionalFormatting>
  <dataValidations count="2">
    <dataValidation sqref="G11" showDropDown="0" showInputMessage="0" showErrorMessage="0" allowBlank="1" type="list">
      <formula1>"Critical,High,Medium,Low"</formula1>
    </dataValidation>
    <dataValidation sqref="G36" showDropDown="0" showInputMessage="0" showErrorMessage="0" allowBlank="1" type="list">
      <formula1>"Critical,High,Medium,Low"</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2026-10-25T23:58:30Z</dcterms:created>
  <dcterms:modified xsi:type="dcterms:W3CDTF">2026-10-25T23:58:30Z</dcterms:modified>
</cp:coreProperties>
</file>