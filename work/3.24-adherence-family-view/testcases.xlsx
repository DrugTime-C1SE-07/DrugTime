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adherence view" sheetId="1" state="visible" r:id="rId1"/>
    <sheet xmlns:r="http://schemas.openxmlformats.org/officeDocument/2006/relationships" name="Report" sheetId="2" state="visible" r:id="rId2"/>
  </sheets>
  <definedNames>
    <definedName name="_xlnm._FilterDatabase" localSheetId="0" hidden="1">'Family adherence view'!$A$8:$I$27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8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A8D08D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9" fontId="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bgColor rgb="00FFC7CE"/>
        </patternFill>
      </fill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FF0000"/>
        </patternFill>
      </fill>
    </dxf>
    <dxf>
      <font>
        <b val="1"/>
        <color rgb="00000000"/>
      </font>
      <fill>
        <patternFill patternType="solid">
          <b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Kết quả theo chức năng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'Report'!$D$11</f>
            </numRef>
          </val>
        </ser>
        <ser>
          <idx val="1"/>
          <order val="1"/>
          <tx>
            <strRef>
              <f>'Report'!E10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'Report'!$E$11</f>
            </numRef>
          </val>
        </ser>
        <ser>
          <idx val="2"/>
          <order val="2"/>
          <tx>
            <strRef>
              <f>'Report'!F10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'Report'!$A$11</f>
            </numRef>
          </cat>
          <val>
            <numRef>
              <f>'Report'!$F$11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'Report'!$B$3:$B$4</f>
            </numRef>
          </cat>
          <val>
            <numRef>
              <f>'Report'!$D$3:$D$4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Người thân xem tuân thủ (FAMADH)</t>
        </is>
      </c>
    </row>
    <row r="3">
      <c r="A3" s="1" t="inlineStr">
        <is>
          <t>Created By</t>
        </is>
      </c>
      <c r="B3" s="2" t="inlineStr">
        <is>
          <t>Ngọc Việt</t>
        </is>
      </c>
    </row>
    <row r="4">
      <c r="A4" s="1" t="inlineStr">
        <is>
          <t>Creation Date</t>
        </is>
      </c>
      <c r="B4" s="3" t="n">
        <v>46317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</row>
    <row r="9" ht="74" customHeight="1">
      <c r="A9" s="4" t="inlineStr">
        <is>
          <t>TC-FAMADH-01</t>
        </is>
      </c>
      <c r="B9" s="4" t="inlineStr">
        <is>
          <t>Mở route với bệnh nhân hợp lệ</t>
        </is>
      </c>
      <c r="C9" s="5" t="inlineStr">
        <is>
          <t>Môi trường Flutter test dùng repository giả; các ca backend/manual cần app đăng nhập và DB local riêng.</t>
        </is>
      </c>
      <c r="D9" s="5" t="inlineStr">
        <is>
          <t>1. Chạy opens valid family route with supplied patient.
2. Kiểm patientId của request và tên trên màn.</t>
        </is>
      </c>
      <c r="E9" s="5" t="inlineStr">
        <is>
          <t>11111111-1111-4111-8111-111111111111; tên Mẹ</t>
        </is>
      </c>
      <c r="F9" s="5" t="inlineStr">
        <is>
          <t>Một request đúng patientId; hiện Mẹ; không có lỗi widget.</t>
        </is>
      </c>
      <c r="G9" s="5" t="inlineStr">
        <is>
          <t>Khẳng định tự động đạt trong lần chạy Flutter test; xem evidence/test-integration.log.</t>
        </is>
      </c>
      <c r="H9" s="4" t="inlineStr">
        <is>
          <t>Pass</t>
        </is>
      </c>
      <c r="I9" s="5" t="inlineStr">
        <is>
          <t>AC1 · family_adherence_screen_test.dart</t>
        </is>
      </c>
    </row>
    <row r="10" ht="74" customHeight="1">
      <c r="A10" s="4" t="inlineStr">
        <is>
          <t>TC-FAMADH-02</t>
        </is>
      </c>
      <c r="B10" s="4" t="inlineStr">
        <is>
          <t>Từ chối đối số route sai</t>
        </is>
      </c>
      <c r="C10" s="5" t="inlineStr">
        <is>
          <t>Môi trường Flutter test dùng repository giả; các ca backend/manual cần app đăng nhập và DB local riêng.</t>
        </is>
      </c>
      <c r="D10" s="5" t="inlineStr">
        <is>
          <t>1. Chạy rejects invalid route arguments without fetching.</t>
        </is>
      </c>
      <c r="E10" s="5" t="inlineStr">
        <is>
          <t>patientId=bad-id</t>
        </is>
      </c>
      <c r="F10" s="5" t="inlineStr">
        <is>
          <t>Không gọi API; hiện Chưa thể mở lịch sử của người bệnh này.</t>
        </is>
      </c>
      <c r="G10" s="5" t="inlineStr">
        <is>
          <t>Khẳng định tự động đạt trong lần chạy Flutter test; xem evidence/test-integration.log.</t>
        </is>
      </c>
      <c r="H10" s="4" t="inlineStr">
        <is>
          <t>Pass</t>
        </is>
      </c>
      <c r="I10" s="5" t="inlineStr">
        <is>
          <t>AC1, AC6 · family_adherence_screen_test.dart</t>
        </is>
      </c>
    </row>
    <row r="11" ht="74" customHeight="1">
      <c r="A11" s="4" t="inlineStr">
        <is>
          <t>TC-FAMADH-03</t>
        </is>
      </c>
      <c r="B11" s="4" t="inlineStr">
        <is>
          <t>Hiển thị đủ bốn trạng thái chỉ đọc</t>
        </is>
      </c>
      <c r="C11" s="5" t="inlineStr">
        <is>
          <t>Môi trường Flutter test dùng repository giả; các ca backend/manual cần app đăng nhập và DB local riêng.</t>
        </is>
      </c>
      <c r="D11" s="5" t="inlineStr">
        <is>
          <t>1. Chạy shows server summary and four read-only dose states.</t>
        </is>
      </c>
      <c r="E11" s="5" t="inlineStr">
        <is>
          <t>da_uong, uong_tre, bo_lo, cho_xac_nhan; Thuốc A</t>
        </is>
      </c>
      <c r="F11" s="5" t="inlineStr">
        <is>
          <t>Có nhãn bốn trạng thái; không có nút Xác nhận hoặc Sửa.</t>
        </is>
      </c>
      <c r="G11" s="5" t="inlineStr">
        <is>
          <t>Khẳng định tự động đạt trong lần chạy Flutter test; xem evidence/test-integration.log.</t>
        </is>
      </c>
      <c r="H11" s="4" t="inlineStr">
        <is>
          <t>Pass</t>
        </is>
      </c>
      <c r="I11" s="5" t="inlineStr">
        <is>
          <t>AC1, AC2 · family_adherence_screen_test.dart</t>
        </is>
      </c>
    </row>
    <row r="12" ht="74" customHeight="1">
      <c r="A12" s="4" t="inlineStr">
        <is>
          <t>TC-FAMADH-04</t>
        </is>
      </c>
      <c r="B12" s="4" t="inlineStr">
        <is>
          <t>Giữ tỷ lệ gồm uống trễ từ server</t>
        </is>
      </c>
      <c r="C12" s="5" t="inlineStr">
        <is>
          <t>Môi trường Flutter test dùng repository giả; các ca backend/manual cần app đăng nhập và DB local riêng.</t>
        </is>
      </c>
      <c r="D12" s="5" t="inlineStr">
        <is>
          <t>1. Chạy widget test summary và mapper test parses all statuses, offset times and server rate.</t>
        </is>
      </c>
      <c r="E12" s="5" t="inlineStr">
        <is>
          <t>taken=1; late=1; missed=1; pending=1; rate=66.67</t>
        </is>
      </c>
      <c r="F12" s="5" t="inlineStr">
        <is>
          <t>Hiện 66.67% và Tỷ lệ tuân thủ (gồm uống trễ).</t>
        </is>
      </c>
      <c r="G12" s="5" t="inlineStr">
        <is>
          <t>Khẳng định tự động đạt trong lần chạy Flutter test; xem evidence/test-integration.log.</t>
        </is>
      </c>
      <c r="H12" s="4" t="inlineStr">
        <is>
          <t>Pass</t>
        </is>
      </c>
      <c r="I12" s="5" t="inlineStr">
        <is>
          <t>AC3 · family_adherence_screen_test.dart; adherence_api_mapper_test.dart</t>
        </is>
      </c>
    </row>
    <row r="13" ht="74" customHeight="1">
      <c r="A13" s="4" t="inlineStr">
        <is>
          <t>TC-FAMADH-05</t>
        </is>
      </c>
      <c r="B13" s="4" t="inlineStr">
        <is>
          <t>Hiển thị dữ liệu rỗng và tỷ lệ null</t>
        </is>
      </c>
      <c r="C13" s="5" t="inlineStr">
        <is>
          <t>Môi trường Flutter test dùng repository giả; các ca backend/manual cần app đăng nhập và DB local riêng.</t>
        </is>
      </c>
      <c r="D13" s="5" t="inlineStr">
        <is>
          <t>1. Chạy empty response and network retry have distinct states.</t>
        </is>
      </c>
      <c r="E13" s="5" t="inlineStr">
        <is>
          <t>groups=[]; counted=0; adherence_rate=null</t>
        </is>
      </c>
      <c r="F13" s="5" t="inlineStr">
        <is>
          <t>Hiện Chưa có liều được tính và Không có lịch sử trong ngày này.</t>
        </is>
      </c>
      <c r="G13" s="5" t="inlineStr">
        <is>
          <t>Khẳng định tự động đạt trong lần chạy Flutter test; xem evidence/test-integration.log.</t>
        </is>
      </c>
      <c r="H13" s="4" t="inlineStr">
        <is>
          <t>Pass</t>
        </is>
      </c>
      <c r="I13" s="5" t="inlineStr">
        <is>
          <t>AC3, AC4 · family_adherence_screen_test.dart</t>
        </is>
      </c>
    </row>
    <row r="14" ht="74" customHeight="1">
      <c r="A14" s="4" t="inlineStr">
        <is>
          <t>TC-FAMADH-06</t>
        </is>
      </c>
      <c r="B14" s="4" t="inlineStr">
        <is>
          <t>Xóa lịch sử trước refresh và khi bị 403</t>
        </is>
      </c>
      <c r="C14" s="5" t="inlineStr">
        <is>
          <t>Môi trường Flutter test dùng repository giả; các ca backend/manual cần app đăng nhập và DB local riêng.</t>
        </is>
      </c>
      <c r="D14" s="5" t="inlineStr">
        <is>
          <t>1. Tải 200 có Thuốc A.
2. Resume app và trả 403 ở request kế tiếp.</t>
        </is>
      </c>
      <c r="E14" s="5" t="inlineStr">
        <is>
          <t>response 200 → 403</t>
        </is>
      </c>
      <c r="F14" s="5" t="inlineStr">
        <is>
          <t>Thuốc A biến mất ngay khi tải lại; hiện Không còn quyền xem lịch sử.</t>
        </is>
      </c>
      <c r="G14" s="5" t="inlineStr">
        <is>
          <t>Khẳng định tự động đạt trong lần chạy Flutter test; xem evidence/test-integration.log.</t>
        </is>
      </c>
      <c r="H14" s="4" t="inlineStr">
        <is>
          <t>Pass</t>
        </is>
      </c>
      <c r="I14" s="5" t="inlineStr">
        <is>
          <t>AC5 · family_adherence_screen_test.dart</t>
        </is>
      </c>
    </row>
    <row r="15" ht="74" customHeight="1">
      <c r="A15" s="4" t="inlineStr">
        <is>
          <t>TC-FAMADH-07</t>
        </is>
      </c>
      <c r="B15" s="4" t="inlineStr">
        <is>
          <t>Loại response cũ khi đổi bệnh nhân</t>
        </is>
      </c>
      <c r="C15" s="5" t="inlineStr">
        <is>
          <t>Môi trường Flutter test dùng repository giả; các ca backend/manual cần app đăng nhập và DB local riêng.</t>
        </is>
      </c>
      <c r="D15" s="5" t="inlineStr">
        <is>
          <t>1. Chạy changing patient discards late response from previous patient.
2. Cho response B về trước response A.</t>
        </is>
      </c>
      <c r="E15" s="5" t="inlineStr">
        <is>
          <t>A=11111111-1111-4111-8111-111111111111; B=22222222-2222-4222-8222-222222222222</t>
        </is>
      </c>
      <c r="F15" s="5" t="inlineStr">
        <is>
          <t>Chỉ giữ lịch sử B; dữ liệu cũ bị xóa trước request.</t>
        </is>
      </c>
      <c r="G15" s="5" t="inlineStr">
        <is>
          <t>Khẳng định tự động đạt trong lần chạy Flutter test; xem evidence/test-integration.log.</t>
        </is>
      </c>
      <c r="H15" s="4" t="inlineStr">
        <is>
          <t>Pass</t>
        </is>
      </c>
      <c r="I15" s="5" t="inlineStr">
        <is>
          <t>AC6 · adherence_controller_test.dart</t>
        </is>
      </c>
    </row>
    <row r="16" ht="74" customHeight="1">
      <c r="A16" s="4" t="inlineStr">
        <is>
          <t>TC-FAMADH-08</t>
        </is>
      </c>
      <c r="B16" s="4" t="inlineStr">
        <is>
          <t>Map lỗi API và xử lý hết phiên</t>
        </is>
      </c>
      <c r="C16" s="5" t="inlineStr">
        <is>
          <t>Môi trường Flutter test dùng repository giả; các ca backend/manual cần app đăng nhập và DB local riêng.</t>
        </is>
      </c>
      <c r="D16" s="5" t="inlineStr">
        <is>
          <t>1. Chạy HTTP 401/403/422/503 maps to failure without retry.</t>
        </is>
      </c>
      <c r="E16" s="5" t="inlineStr">
        <is>
          <t>401;403;422;503</t>
        </is>
      </c>
      <c r="F16" s="5" t="inlineStr">
        <is>
          <t>Failure đúng loại; callback hết phiên chỉ gọi với 401; mỗi ca một request.</t>
        </is>
      </c>
      <c r="G16" s="5" t="inlineStr">
        <is>
          <t>Khẳng định tự động đạt trong lần chạy Flutter test; xem evidence/test-integration.log.</t>
        </is>
      </c>
      <c r="H16" s="4" t="inlineStr">
        <is>
          <t>Pass</t>
        </is>
      </c>
      <c r="I16" s="5" t="inlineStr">
        <is>
          <t>AC5, AC7 · remote_adherence_repository_test.dart</t>
        </is>
      </c>
    </row>
    <row r="17" ht="74" customHeight="1">
      <c r="A17" s="4" t="inlineStr">
        <is>
          <t>TC-FAMADH-09</t>
        </is>
      </c>
      <c r="B17" s="4" t="inlineStr">
        <is>
          <t>Thử lại sau lỗi mạng</t>
        </is>
      </c>
      <c r="C17" s="5" t="inlineStr">
        <is>
          <t>Môi trường Flutter test dùng repository giả; các ca backend/manual cần app đăng nhập và DB local riêng.</t>
        </is>
      </c>
      <c r="D17" s="5" t="inlineStr">
        <is>
          <t>1. Chạy empty response and network retry have distinct states.
2. Nhấn Thử lại sau lỗi network.</t>
        </is>
      </c>
      <c r="E17" s="5" t="inlineStr">
        <is>
          <t>AdherenceFailureKind.network</t>
        </is>
      </c>
      <c r="F17" s="5" t="inlineStr">
        <is>
          <t>Hiện Chưa thể tải lịch sử; nhấn Thử lại tạo request mới.</t>
        </is>
      </c>
      <c r="G17" s="5" t="inlineStr">
        <is>
          <t>Khẳng định tự động đạt trong lần chạy Flutter test; xem evidence/test-integration.log.</t>
        </is>
      </c>
      <c r="H17" s="4" t="inlineStr">
        <is>
          <t>Pass</t>
        </is>
      </c>
      <c r="I17" s="5" t="inlineStr">
        <is>
          <t>AC7 · family_adherence_screen_test.dart</t>
        </is>
      </c>
    </row>
    <row r="18" ht="74" customHeight="1">
      <c r="A18" s="4" t="inlineStr">
        <is>
          <t>TC-FAMADH-10</t>
        </is>
      </c>
      <c r="B18" s="4" t="inlineStr">
        <is>
          <t>Gửi query và token mới ở mỗi lần đọc</t>
        </is>
      </c>
      <c r="C18" s="5" t="inlineStr">
        <is>
          <t>Môi trường Flutter test dùng repository giả; các ca backend/manual cần app đăng nhập và DB local riêng.</t>
        </is>
      </c>
      <c r="D18" s="5" t="inlineStr">
        <is>
          <t>1. Chạy GET sends patient, bounded dates, group and app bearer on each call.</t>
        </is>
      </c>
      <c r="E18" s="5" t="inlineStr">
        <is>
          <t>from=2026-10-01;to=2026-10-22;group_by=date; token first-token → second-token</t>
        </is>
      </c>
      <c r="F18" s="5" t="inlineStr">
        <is>
          <t>GET /adherence đúng patient_id, from, to, group_by; bearer cập nhật.</t>
        </is>
      </c>
      <c r="G18" s="5" t="inlineStr">
        <is>
          <t>Khẳng định tự động đạt trong lần chạy Flutter test; xem evidence/test-integration.log.</t>
        </is>
      </c>
      <c r="H18" s="4" t="inlineStr">
        <is>
          <t>Pass</t>
        </is>
      </c>
      <c r="I18" s="5" t="inlineStr">
        <is>
          <t>AC1, AC8 · remote_adherence_repository_test.dart</t>
        </is>
      </c>
    </row>
    <row r="19" ht="74" customHeight="1">
      <c r="A19" s="4" t="inlineStr">
        <is>
          <t>TC-FAMADH-11</t>
        </is>
      </c>
      <c r="B19" s="4" t="inlineStr">
        <is>
          <t>Chặn ngày tương lai và ngày quá cũ</t>
        </is>
      </c>
      <c r="C19" s="5" t="inlineStr">
        <is>
          <t>Môi trường Flutter test dùng repository giả; các ca backend/manual cần app đăng nhập và DB local riêng.</t>
        </is>
      </c>
      <c r="D19" s="5" t="inlineStr">
        <is>
          <t>1. Chạy rejects future and out-of-range dates without a request.</t>
        </is>
      </c>
      <c r="E19" s="5" t="inlineStr">
        <is>
          <t>today=2026-10-22; chọn 2026-10-23 và 2026-07-01</t>
        </is>
      </c>
      <c r="F19" s="5" t="inlineStr">
        <is>
          <t>Không phát request.</t>
        </is>
      </c>
      <c r="G19" s="5" t="inlineStr">
        <is>
          <t>Khẳng định tự động đạt trong lần chạy Flutter test; xem evidence/test-integration.log.</t>
        </is>
      </c>
      <c r="H19" s="4" t="inlineStr">
        <is>
          <t>Pass</t>
        </is>
      </c>
      <c r="I19" s="5" t="inlineStr">
        <is>
          <t>AC8 · adherence_controller_test.dart</t>
        </is>
      </c>
    </row>
    <row r="20" ht="74" customHeight="1">
      <c r="A20" s="4" t="inlineStr">
        <is>
          <t>TC-FAMADH-12</t>
        </is>
      </c>
      <c r="B20" s="4" t="inlineStr">
        <is>
          <t>Đọc thời gian có offset và từ chối response sai</t>
        </is>
      </c>
      <c r="C20" s="5" t="inlineStr">
        <is>
          <t>Môi trường Flutter test dùng repository giả; các ca backend/manual cần app đăng nhập và DB local riêng.</t>
        </is>
      </c>
      <c r="D20" s="5" t="inlineStr">
        <is>
          <t>1. Chạy toàn bộ adherence_api_mapper_test.dart và rejects a response for another patient.</t>
        </is>
      </c>
      <c r="E20" s="5" t="inlineStr">
        <is>
          <t>08:00+07:00; taken_at=null; thiếu patient_id; ngày 2026-02-30; patient khác</t>
        </is>
      </c>
      <c r="F20" s="5" t="inlineStr">
        <is>
          <t>UTC đúng; giữ null; dữ liệu sai bị từ chối.</t>
        </is>
      </c>
      <c r="G20" s="5" t="inlineStr">
        <is>
          <t>Khẳng định tự động đạt trong lần chạy Flutter test; xem evidence/test-integration.log.</t>
        </is>
      </c>
      <c r="H20" s="4" t="inlineStr">
        <is>
          <t>Pass</t>
        </is>
      </c>
      <c r="I20" s="5" t="inlineStr">
        <is>
          <t>AC2, AC6, AC8 · adherence_api_mapper_test.dart; remote_adherence_repository_test.dart</t>
        </is>
      </c>
    </row>
    <row r="21" ht="74" customHeight="1">
      <c r="A21" s="4" t="inlineStr">
        <is>
          <t>TC-FAMADH-13</t>
        </is>
      </c>
      <c r="B21" s="4" t="inlineStr">
        <is>
          <t>Không overflow khi tăng cỡ chữ</t>
        </is>
      </c>
      <c r="C21" s="5" t="inlineStr">
        <is>
          <t>Môi trường Flutter test dùng repository giả; các ca backend/manual cần app đăng nhập và DB local riêng.</t>
        </is>
      </c>
      <c r="D21" s="5" t="inlineStr">
        <is>
          <t>1. Chạy fits narrow viewport and large text.</t>
        </is>
      </c>
      <c r="E21" s="5" t="inlineStr">
        <is>
          <t>320×640; textScaleFactor=1.6</t>
        </is>
      </c>
      <c r="F21" s="5" t="inlineStr">
        <is>
          <t>Không có Flutter layout exception.</t>
        </is>
      </c>
      <c r="G21" s="5" t="inlineStr">
        <is>
          <t>Khẳng định tự động đạt trong lần chạy Flutter test; xem evidence/test-integration.log.</t>
        </is>
      </c>
      <c r="H21" s="4" t="inlineStr">
        <is>
          <t>Pass</t>
        </is>
      </c>
      <c r="I21" s="5" t="inlineStr">
        <is>
          <t>AC9 · family_adherence_screen_test.dart</t>
        </is>
      </c>
    </row>
    <row r="22" ht="74" customHeight="1">
      <c r="A22" s="4" t="inlineStr">
        <is>
          <t>TC-FAMADH-14</t>
        </is>
      </c>
      <c r="B22" s="4" t="inlineStr">
        <is>
          <t>Kiểm vùng an toàn, landscape và trình đọc màn hình</t>
        </is>
      </c>
      <c r="C22" s="5" t="inlineStr">
        <is>
          <t>Cần thiết bị hoặc DB local riêng với bệnh nhân A, người thân F và liên kết active.</t>
        </is>
      </c>
      <c r="D22" s="5" t="inlineStr">
        <is>
          <t>1. Mở route trên thiết bị 375dp và 320dp.
2. Tăng chữ 1.6×; xoay ngang; cuộn hết liều.
3. Bật TalkBack/VoiceOver; kiểm nhãn ngày/tỷ lệ/trạng thái và vùng chạm.</t>
        </is>
      </c>
      <c r="E22" s="5" t="inlineStr">
        <is>
          <t>375dp, 320dp; chữ 1.6×</t>
        </is>
      </c>
      <c r="F22" s="5" t="inlineStr">
        <is>
          <t>Không che/tràn; nhãn đọc rõ; điều khiển có vùng chạm theo nền tảng.</t>
        </is>
      </c>
      <c r="G22" s="5" t="inlineStr"/>
      <c r="H22" s="4" t="inlineStr">
        <is>
          <t>Pending</t>
        </is>
      </c>
      <c r="I22" s="5" t="inlineStr">
        <is>
          <t>AC9 · manual</t>
        </is>
      </c>
    </row>
    <row r="23" ht="57.5" customHeight="1">
      <c r="A23" s="4" t="inlineStr">
        <is>
          <t>TC-FAMADH-15</t>
        </is>
      </c>
      <c r="B23" s="4" t="inlineStr">
        <is>
          <t>Đối chiếu Figma S09a/S09b</t>
        </is>
      </c>
      <c r="C23" s="5" t="inlineStr">
        <is>
          <t>Cần thiết bị hoặc DB local riêng với bệnh nhân A, người thân F và liên kết active.</t>
        </is>
      </c>
      <c r="D23" s="5" t="inlineStr">
        <is>
          <t>1. Mở màn có summary và bốn trạng thái.
2. So màu/chữ/spacing/radius với node 75:7848 và 75:8120 cùng foundation.</t>
        </is>
      </c>
      <c r="E23" s="5" t="inlineStr">
        <is>
          <t>Figma Prototype_DrugTime; 375×812</t>
        </is>
      </c>
      <c r="F23" s="5" t="inlineStr">
        <is>
          <t>Nhất quán token và visual; header thể hiện dữ liệu bệnh nhân được chia sẻ.</t>
        </is>
      </c>
      <c r="G23" s="5" t="inlineStr"/>
      <c r="H23" s="4" t="inlineStr">
        <is>
          <t>Pending</t>
        </is>
      </c>
      <c r="I23" s="5" t="inlineStr">
        <is>
          <t>AC10 · manual</t>
        </is>
      </c>
    </row>
    <row r="24" ht="74" customHeight="1">
      <c r="A24" s="4" t="inlineStr">
        <is>
          <t>TC-FAMADH-16</t>
        </is>
      </c>
      <c r="B24" s="4" t="inlineStr">
        <is>
          <t>Kiểm quyền đọc và audit trên DB thật</t>
        </is>
      </c>
      <c r="C24" s="5" t="inlineStr">
        <is>
          <t>Cần thiết bị hoặc DB local riêng với bệnh nhân A, người thân F và liên kết active.</t>
        </is>
      </c>
      <c r="D24" s="5" t="inlineStr">
        <is>
          <t>1. Chạy backend/tests/integration/test_adherence_history_access.py trên DB local sạch.
2. Kiểm ca family allowed, không link/consent và giả mạo patient_id.</t>
        </is>
      </c>
      <c r="E24" s="5" t="inlineStr">
        <is>
          <t>F liên kết A; B không liên kết</t>
        </is>
      </c>
      <c r="F24" s="5" t="inlineStr">
        <is>
          <t>200 + audit allowed với A; 403 + audit denied với B/thiếu quyền.</t>
        </is>
      </c>
      <c r="G24" s="5" t="inlineStr"/>
      <c r="H24" s="4" t="inlineStr">
        <is>
          <t>Pending</t>
        </is>
      </c>
      <c r="I24" s="5" t="inlineStr">
        <is>
          <t>AC5, AC6 · manual</t>
        </is>
      </c>
    </row>
    <row r="25" ht="74" customHeight="1">
      <c r="A25" s="4" t="inlineStr">
        <is>
          <t>TC-FAMADH-17</t>
        </is>
      </c>
      <c r="B25" s="4" t="inlineStr">
        <is>
          <t>Thu hồi quyền có hiệu lực request kế tiếp</t>
        </is>
      </c>
      <c r="C25" s="5" t="inlineStr">
        <is>
          <t>Cần thiết bị hoặc DB local riêng với bệnh nhân A, người thân F và liên kết active.</t>
        </is>
      </c>
      <c r="D25" s="5" t="inlineStr">
        <is>
          <t>1. Chạy test_revoke_sharing_off_unlink_denies_immediate_next_request_same_token__AC12.
2. Rút consent hoặc tắt sharing/unlink, gửi lại cùng token.</t>
        </is>
      </c>
      <c r="E25" s="5" t="inlineStr">
        <is>
          <t>Cùng phiên F; A vừa thu hồi</t>
        </is>
      </c>
      <c r="F25" s="5" t="inlineStr">
        <is>
          <t>403 ngay request tiếp theo; có audit denied.</t>
        </is>
      </c>
      <c r="G25" s="5" t="inlineStr"/>
      <c r="H25" s="4" t="inlineStr">
        <is>
          <t>Pending</t>
        </is>
      </c>
      <c r="I25" s="5" t="inlineStr">
        <is>
          <t>AC5 · manual</t>
        </is>
      </c>
    </row>
    <row r="26" ht="57.5" customHeight="1">
      <c r="A26" s="4" t="inlineStr">
        <is>
          <t>TC-FAMADH-18</t>
        </is>
      </c>
      <c r="B26" s="4" t="inlineStr">
        <is>
          <t>Fail closed khi ghi audit lỗi</t>
        </is>
      </c>
      <c r="C26" s="5" t="inlineStr">
        <is>
          <t>Cần thiết bị hoặc DB local riêng với bệnh nhân A, người thân F và liên kết active.</t>
        </is>
      </c>
      <c r="D26" s="5" t="inlineStr">
        <is>
          <t>1. Chạy test_audit_permission_and_commit_failure_fail_closed_without_health__AC13 trên DB riêng.</t>
        </is>
      </c>
      <c r="E26" s="5" t="inlineStr">
        <is>
          <t>Lỗi insert audit/commit/đọc quyền</t>
        </is>
      </c>
      <c r="F26" s="5" t="inlineStr">
        <is>
          <t>Không trả dữ liệu sức khỏe khi audit/quyền lỗi.</t>
        </is>
      </c>
      <c r="G26" s="5" t="inlineStr"/>
      <c r="H26" s="4" t="inlineStr">
        <is>
          <t>Pending</t>
        </is>
      </c>
      <c r="I26" s="5" t="inlineStr">
        <is>
          <t>AC5, AC6 · manual</t>
        </is>
      </c>
    </row>
    <row r="27" ht="57.5" customHeight="1">
      <c r="A27" s="4" t="inlineStr">
        <is>
          <t>TC-FAMADH-19</t>
        </is>
      </c>
      <c r="B27" s="4" t="inlineStr">
        <is>
          <t>Kiểm đủ biên 90 ngày và điều hướng lịch tháng</t>
        </is>
      </c>
      <c r="C27" s="5" t="inlineStr">
        <is>
          <t>Cần thiết bị hoặc DB local riêng với bệnh nhân A, người thân F và liên kết active.</t>
        </is>
      </c>
      <c r="D27" s="5" t="inlineStr">
        <is>
          <t>1. Chọn today-90, today-89, today, today+1.
2. Mở lịch tháng và chuyển giữa các tháng trong cửa sổ.</t>
        </is>
      </c>
      <c r="E27" s="5" t="inlineStr">
        <is>
          <t>today=2026-10-22; các ngày biên 2026-07-24,2026-07-25,2026-10-22,2026-10-23</t>
        </is>
      </c>
      <c r="F27" s="5" t="inlineStr">
        <is>
          <t>Chỉ today-89 đến today được chọn; query mỗi lần không quá 90 ngày; tương lai bị khóa.</t>
        </is>
      </c>
      <c r="G27" s="5" t="inlineStr"/>
      <c r="H27" s="4" t="inlineStr">
        <is>
          <t>Pending</t>
        </is>
      </c>
      <c r="I27" s="5" t="inlineStr">
        <is>
          <t>AC8 · manual</t>
        </is>
      </c>
    </row>
    <row r="28"/>
    <row r="29"/>
    <row r="30">
      <c r="G30" s="6" t="inlineStr">
        <is>
          <t>Pass</t>
        </is>
      </c>
      <c r="H30" s="7">
        <f>COUNTIF(H9:H27,"Pass")</f>
        <v/>
      </c>
    </row>
    <row r="31">
      <c r="G31" s="6" t="inlineStr">
        <is>
          <t>Fail</t>
        </is>
      </c>
      <c r="H31" s="7">
        <f>COUNTIF(H9:H27,"Fail")</f>
        <v/>
      </c>
    </row>
    <row r="32">
      <c r="G32" s="6" t="inlineStr">
        <is>
          <t>Pending</t>
        </is>
      </c>
      <c r="H32" s="7">
        <f>COUNTIF(H9:H27,"Pending")</f>
        <v/>
      </c>
    </row>
    <row r="33">
      <c r="G33" s="6" t="inlineStr">
        <is>
          <t>Total</t>
        </is>
      </c>
      <c r="H33" s="7">
        <f>SUM(H30:H32)</f>
        <v/>
      </c>
    </row>
  </sheetData>
  <autoFilter ref="A8:I27"/>
  <conditionalFormatting sqref="H9:H27">
    <cfRule type="cellIs" priority="1" operator="equal" dxfId="0">
      <formula>"Fail"</formula>
    </cfRule>
  </conditionalFormatting>
  <dataValidations count="1">
    <dataValidation sqref="H9:H27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4" customWidth="1" min="4" max="4"/>
    <col width="24" customWidth="1" min="5" max="5"/>
    <col width="24" customWidth="1" min="6" max="6"/>
    <col width="14" customWidth="1" min="7" max="7"/>
    <col width="40" customWidth="1" min="8" max="8"/>
    <col width="45" customWidth="1" min="9" max="9"/>
  </cols>
  <sheetData>
    <row r="1">
      <c r="A1" s="8" t="inlineStr">
        <is>
          <t>TEST REPORT</t>
        </is>
      </c>
    </row>
    <row r="2">
      <c r="C2" s="9" t="inlineStr">
        <is>
          <t>Ngọc Việt</t>
        </is>
      </c>
      <c r="D2" s="9" t="inlineStr">
        <is>
          <t>Total</t>
        </is>
      </c>
    </row>
    <row r="3">
      <c r="A3" s="9" t="inlineStr">
        <is>
          <t>Executed</t>
        </is>
      </c>
      <c r="B3" s="10" t="inlineStr">
        <is>
          <t>Passed</t>
        </is>
      </c>
      <c r="C3" s="11">
        <f>'Family adherence view'!$H$30</f>
        <v/>
      </c>
      <c r="D3" s="9">
        <f>SUM(C3:C3)</f>
        <v/>
      </c>
    </row>
    <row r="4">
      <c r="A4" s="12" t="n"/>
      <c r="B4" s="10" t="inlineStr">
        <is>
          <t>Failed</t>
        </is>
      </c>
      <c r="C4" s="11">
        <f>'Family adherence view'!$H$31</f>
        <v/>
      </c>
      <c r="D4" s="9">
        <f>SUM(C4:C4)</f>
        <v/>
      </c>
    </row>
    <row r="5">
      <c r="A5" s="13" t="n"/>
      <c r="B5" s="10" t="inlineStr">
        <is>
          <t>(Total) Test executed (Passed + Failed)</t>
        </is>
      </c>
      <c r="C5" s="11">
        <f>C3+C4</f>
        <v/>
      </c>
      <c r="D5" s="9">
        <f>SUM(C5:C5)</f>
        <v/>
      </c>
    </row>
    <row r="6">
      <c r="A6" s="9" t="inlineStr">
        <is>
          <t>Pending</t>
        </is>
      </c>
      <c r="B6" s="14" t="inlineStr"/>
      <c r="C6" s="11">
        <f>'Family adherence view'!$H$32</f>
        <v/>
      </c>
      <c r="D6" s="9">
        <f>SUM(C6:C6)</f>
        <v/>
      </c>
    </row>
    <row r="7">
      <c r="A7" s="9" t="inlineStr">
        <is>
          <t>(Sub-total) Test Planned</t>
        </is>
      </c>
      <c r="B7" s="14" t="inlineStr"/>
      <c r="C7" s="11">
        <f>C5+C6</f>
        <v/>
      </c>
      <c r="D7" s="9">
        <f>SUM(C7:C7)</f>
        <v/>
      </c>
    </row>
    <row r="10">
      <c r="A10" s="15" t="inlineStr">
        <is>
          <t>Function</t>
        </is>
      </c>
      <c r="B10" s="15" t="inlineStr">
        <is>
          <t>Description</t>
        </is>
      </c>
      <c r="C10" s="15" t="inlineStr">
        <is>
          <t>Sheet Name</t>
        </is>
      </c>
      <c r="D10" s="15" t="inlineStr">
        <is>
          <t>% TCs Executed</t>
        </is>
      </c>
      <c r="E10" s="15" t="inlineStr">
        <is>
          <t>% TCs Passed</t>
        </is>
      </c>
      <c r="F10" s="15" t="inlineStr">
        <is>
          <t>% TCs Failed</t>
        </is>
      </c>
      <c r="G10" s="15" t="inlineStr">
        <is>
          <t>Priority</t>
        </is>
      </c>
      <c r="H10" s="15" t="inlineStr">
        <is>
          <t>Remarks</t>
        </is>
      </c>
      <c r="I10" s="15" t="inlineStr">
        <is>
          <t>Done by</t>
        </is>
      </c>
    </row>
    <row r="11" ht="90.5" customHeight="1">
      <c r="A11" s="11" t="inlineStr">
        <is>
          <t>Người thân xem tuân thủ</t>
        </is>
      </c>
      <c r="B11" s="14" t="inlineStr">
        <is>
          <t>Màn chỉ đọc nhận patientId</t>
        </is>
      </c>
      <c r="C11" s="11" t="inlineStr">
        <is>
          <t>Family adherence view</t>
        </is>
      </c>
      <c r="D11" s="16">
        <f>IFERROR(('Family adherence view'!$H$33-'Family adherence view'!$H$32)/'Family adherence view'!$H$33,0)</f>
        <v/>
      </c>
      <c r="E11" s="16">
        <f>IFERROR('Family adherence view'!$H$30/'Family adherence view'!$H$33,0)</f>
        <v/>
      </c>
      <c r="F11" s="16">
        <f>IFERROR('Family adherence view'!$H$31/'Family adherence view'!$H$33,0)</f>
        <v/>
      </c>
      <c r="G11" s="11" t="inlineStr">
        <is>
          <t>High</t>
        </is>
      </c>
      <c r="H11" s="14" t="inlineStr">
        <is>
          <t>13 Pass tự động; 6 Pending cần thiết bị/DB và kiểm biên đầy đủ.</t>
        </is>
      </c>
      <c r="I11" s="11" t="inlineStr">
        <is>
          <t>Ngọc Việt</t>
        </is>
      </c>
    </row>
    <row r="34">
      <c r="A34" s="17" t="inlineStr">
        <is>
          <t>Bug Report</t>
        </is>
      </c>
    </row>
    <row r="35">
      <c r="A35" s="18" t="inlineStr">
        <is>
          <t>Bug ID</t>
        </is>
      </c>
      <c r="B35" s="18" t="inlineStr">
        <is>
          <t>Description</t>
        </is>
      </c>
      <c r="C35" s="18" t="inlineStr">
        <is>
          <t>Steps to Reproduce</t>
        </is>
      </c>
      <c r="D35" s="18" t="inlineStr">
        <is>
          <t>Input Data</t>
        </is>
      </c>
      <c r="E35" s="18" t="inlineStr">
        <is>
          <t>Expected Result</t>
        </is>
      </c>
      <c r="F35" s="18" t="inlineStr">
        <is>
          <t>Actual Result</t>
        </is>
      </c>
      <c r="G35" s="18" t="inlineStr">
        <is>
          <t>Severity</t>
        </is>
      </c>
      <c r="H35" s="18" t="inlineStr">
        <is>
          <t>Name of Tester</t>
        </is>
      </c>
      <c r="I35" s="18" t="inlineStr">
        <is>
          <t>Logs</t>
        </is>
      </c>
    </row>
  </sheetData>
  <mergeCells count="2">
    <mergeCell ref="A1:G1"/>
    <mergeCell ref="A3:A5"/>
  </mergeCells>
  <conditionalFormatting sqref="F11">
    <cfRule type="cellIs" priority="1" operator="greaterThan" dxfId="0">
      <formula>0.2</formula>
    </cfRule>
  </conditionalFormatting>
  <conditionalFormatting sqref="G11">
    <cfRule type="expression" priority="2" dxfId="0">
      <formula>OR(G11="Critical",G11="High")</formula>
    </cfRule>
  </conditionalFormatting>
  <conditionalFormatting sqref="G36">
    <cfRule type="cellIs" priority="3" operator="equal" dxfId="1">
      <formula>"Critical"</formula>
    </cfRule>
    <cfRule type="cellIs" priority="4" operator="equal" dxfId="2">
      <formula>"High"</formula>
    </cfRule>
    <cfRule type="cellIs" priority="5" operator="equal" dxfId="3">
      <formula>"Medium"</formula>
    </cfRule>
  </conditionalFormatting>
  <dataValidations count="2">
    <dataValidation sqref="G11" showDropDown="0" showInputMessage="0" showErrorMessage="0" allowBlank="1" type="list">
      <formula1>"Critical,High,Medium,Low"</formula1>
    </dataValidation>
    <dataValidation sqref="G36" showDropDown="0" showInputMessage="0" showErrorMessage="0" allowBlank="1" type="list">
      <formula1>"Critical,High,Medium,Low"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2026-10-22T12:53:51Z</dcterms:created>
  <dcterms:modified xmlns:dcterms="http://purl.org/dc/terms/" xmlns:xsi="http://www.w3.org/2001/XMLSchema-instance" xsi:type="dcterms:W3CDTF">2026-10-22T12:53:51Z</dcterms:modified>
</cp:coreProperties>
</file>